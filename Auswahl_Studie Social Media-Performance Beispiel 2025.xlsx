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1E4917F5E22F1C/Desktop/Marketing/ToDo/"/>
    </mc:Choice>
  </mc:AlternateContent>
  <xr:revisionPtr revIDLastSave="33" documentId="8_{56034C37-95DE-457E-A977-918E3B509E6B}" xr6:coauthVersionLast="47" xr6:coauthVersionMax="47" xr10:uidLastSave="{749B3BC0-A539-4F63-879C-EC2CDBFFB464}"/>
  <bookViews>
    <workbookView xWindow="-108" yWindow="-108" windowWidth="23256" windowHeight="12576" xr2:uid="{894AA23C-6174-4705-8CFB-88ED5AA2F4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/>
  <c r="D20" i="1" s="1"/>
  <c r="C21" i="1"/>
  <c r="D21" i="1" s="1"/>
  <c r="F21" i="1" s="1"/>
  <c r="J21" i="1" s="1"/>
  <c r="C22" i="1"/>
  <c r="C23" i="1"/>
  <c r="C24" i="1"/>
  <c r="C25" i="1"/>
  <c r="C26" i="1"/>
  <c r="C27" i="1"/>
  <c r="C28" i="1"/>
  <c r="D28" i="1" s="1"/>
  <c r="G28" i="1" s="1"/>
  <c r="C29" i="1"/>
  <c r="D29" i="1" s="1"/>
  <c r="G29" i="1" s="1"/>
  <c r="K29" i="1" s="1"/>
  <c r="X28" i="1"/>
  <c r="P28" i="1"/>
  <c r="O28" i="1"/>
  <c r="H28" i="1"/>
  <c r="E28" i="1"/>
  <c r="C17" i="1"/>
  <c r="C18" i="1"/>
  <c r="X18" i="1"/>
  <c r="O18" i="1"/>
  <c r="P18" i="1" s="1"/>
  <c r="H18" i="1"/>
  <c r="E18" i="1"/>
  <c r="D18" i="1"/>
  <c r="F18" i="1" s="1"/>
  <c r="X16" i="1"/>
  <c r="O16" i="1"/>
  <c r="P16" i="1" s="1"/>
  <c r="H16" i="1"/>
  <c r="E16" i="1"/>
  <c r="C16" i="1"/>
  <c r="D16" i="1" s="1"/>
  <c r="X48" i="1"/>
  <c r="O48" i="1"/>
  <c r="P48" i="1" s="1"/>
  <c r="H48" i="1"/>
  <c r="E48" i="1"/>
  <c r="C48" i="1"/>
  <c r="D48" i="1" s="1"/>
  <c r="X47" i="1"/>
  <c r="O47" i="1"/>
  <c r="P47" i="1" s="1"/>
  <c r="H47" i="1"/>
  <c r="E47" i="1"/>
  <c r="C47" i="1"/>
  <c r="X46" i="1"/>
  <c r="O46" i="1"/>
  <c r="P46" i="1" s="1"/>
  <c r="H46" i="1"/>
  <c r="E46" i="1"/>
  <c r="C46" i="1"/>
  <c r="X45" i="1"/>
  <c r="O45" i="1"/>
  <c r="P45" i="1" s="1"/>
  <c r="H45" i="1"/>
  <c r="E45" i="1"/>
  <c r="C45" i="1"/>
  <c r="X44" i="1"/>
  <c r="O44" i="1"/>
  <c r="P44" i="1" s="1"/>
  <c r="H44" i="1"/>
  <c r="E44" i="1"/>
  <c r="C44" i="1"/>
  <c r="D44" i="1" s="1"/>
  <c r="X43" i="1"/>
  <c r="O43" i="1"/>
  <c r="P43" i="1" s="1"/>
  <c r="H43" i="1"/>
  <c r="E43" i="1"/>
  <c r="D43" i="1"/>
  <c r="C43" i="1"/>
  <c r="X42" i="1"/>
  <c r="O42" i="1"/>
  <c r="P42" i="1" s="1"/>
  <c r="H42" i="1"/>
  <c r="E42" i="1"/>
  <c r="C42" i="1"/>
  <c r="X41" i="1"/>
  <c r="O41" i="1"/>
  <c r="P41" i="1" s="1"/>
  <c r="H41" i="1"/>
  <c r="E41" i="1"/>
  <c r="C41" i="1"/>
  <c r="D41" i="1" s="1"/>
  <c r="X40" i="1"/>
  <c r="O40" i="1"/>
  <c r="P40" i="1" s="1"/>
  <c r="H40" i="1"/>
  <c r="E40" i="1"/>
  <c r="C40" i="1"/>
  <c r="X39" i="1"/>
  <c r="O39" i="1"/>
  <c r="P39" i="1" s="1"/>
  <c r="H39" i="1"/>
  <c r="E39" i="1"/>
  <c r="C39" i="1"/>
  <c r="X38" i="1"/>
  <c r="O38" i="1"/>
  <c r="P38" i="1" s="1"/>
  <c r="H38" i="1"/>
  <c r="E38" i="1"/>
  <c r="C38" i="1"/>
  <c r="D38" i="1" s="1"/>
  <c r="X37" i="1"/>
  <c r="O37" i="1"/>
  <c r="P37" i="1" s="1"/>
  <c r="H37" i="1"/>
  <c r="E37" i="1"/>
  <c r="C37" i="1"/>
  <c r="X36" i="1"/>
  <c r="O36" i="1"/>
  <c r="P36" i="1" s="1"/>
  <c r="H36" i="1"/>
  <c r="E36" i="1"/>
  <c r="C36" i="1"/>
  <c r="D36" i="1" s="1"/>
  <c r="X35" i="1"/>
  <c r="O35" i="1"/>
  <c r="P35" i="1" s="1"/>
  <c r="H35" i="1"/>
  <c r="E35" i="1"/>
  <c r="C35" i="1"/>
  <c r="D35" i="1" s="1"/>
  <c r="X34" i="1"/>
  <c r="O34" i="1"/>
  <c r="P34" i="1" s="1"/>
  <c r="H34" i="1"/>
  <c r="E34" i="1"/>
  <c r="C34" i="1"/>
  <c r="X33" i="1"/>
  <c r="O33" i="1"/>
  <c r="P33" i="1" s="1"/>
  <c r="H33" i="1"/>
  <c r="E33" i="1"/>
  <c r="C33" i="1"/>
  <c r="D33" i="1" s="1"/>
  <c r="X32" i="1"/>
  <c r="O32" i="1"/>
  <c r="P32" i="1" s="1"/>
  <c r="H32" i="1"/>
  <c r="E32" i="1"/>
  <c r="C32" i="1"/>
  <c r="X31" i="1"/>
  <c r="O31" i="1"/>
  <c r="P31" i="1" s="1"/>
  <c r="H31" i="1"/>
  <c r="E31" i="1"/>
  <c r="D31" i="1"/>
  <c r="G31" i="1" s="1"/>
  <c r="C31" i="1"/>
  <c r="X30" i="1"/>
  <c r="O30" i="1"/>
  <c r="P30" i="1" s="1"/>
  <c r="H30" i="1"/>
  <c r="E30" i="1"/>
  <c r="C30" i="1"/>
  <c r="D30" i="1" s="1"/>
  <c r="F30" i="1" s="1"/>
  <c r="J30" i="1" s="1"/>
  <c r="X29" i="1"/>
  <c r="O29" i="1"/>
  <c r="P29" i="1" s="1"/>
  <c r="H29" i="1"/>
  <c r="E29" i="1"/>
  <c r="X27" i="1"/>
  <c r="O27" i="1"/>
  <c r="P27" i="1" s="1"/>
  <c r="H27" i="1"/>
  <c r="E27" i="1"/>
  <c r="X26" i="1"/>
  <c r="O26" i="1"/>
  <c r="P26" i="1" s="1"/>
  <c r="H26" i="1"/>
  <c r="E26" i="1"/>
  <c r="X25" i="1"/>
  <c r="O25" i="1"/>
  <c r="P25" i="1" s="1"/>
  <c r="H25" i="1"/>
  <c r="E25" i="1"/>
  <c r="D25" i="1"/>
  <c r="G25" i="1" s="1"/>
  <c r="X24" i="1"/>
  <c r="O24" i="1"/>
  <c r="P24" i="1" s="1"/>
  <c r="H24" i="1"/>
  <c r="E24" i="1"/>
  <c r="X23" i="1"/>
  <c r="O23" i="1"/>
  <c r="P23" i="1" s="1"/>
  <c r="H23" i="1"/>
  <c r="E23" i="1"/>
  <c r="X22" i="1"/>
  <c r="O22" i="1"/>
  <c r="P22" i="1" s="1"/>
  <c r="H22" i="1"/>
  <c r="E22" i="1"/>
  <c r="D22" i="1"/>
  <c r="G22" i="1" s="1"/>
  <c r="X21" i="1"/>
  <c r="O21" i="1"/>
  <c r="P21" i="1" s="1"/>
  <c r="H21" i="1"/>
  <c r="E21" i="1"/>
  <c r="X20" i="1"/>
  <c r="O20" i="1"/>
  <c r="P20" i="1" s="1"/>
  <c r="H20" i="1"/>
  <c r="E20" i="1"/>
  <c r="X19" i="1"/>
  <c r="O19" i="1"/>
  <c r="P19" i="1" s="1"/>
  <c r="H19" i="1"/>
  <c r="E19" i="1"/>
  <c r="X2" i="1"/>
  <c r="O2" i="1"/>
  <c r="P2" i="1" s="1"/>
  <c r="H2" i="1"/>
  <c r="E2" i="1"/>
  <c r="C2" i="1"/>
  <c r="X17" i="1"/>
  <c r="O17" i="1"/>
  <c r="P17" i="1" s="1"/>
  <c r="H17" i="1"/>
  <c r="E17" i="1"/>
  <c r="X15" i="1"/>
  <c r="O15" i="1"/>
  <c r="P15" i="1" s="1"/>
  <c r="H15" i="1"/>
  <c r="E15" i="1"/>
  <c r="C15" i="1"/>
  <c r="X14" i="1"/>
  <c r="O14" i="1"/>
  <c r="P14" i="1" s="1"/>
  <c r="H14" i="1"/>
  <c r="E14" i="1"/>
  <c r="C14" i="1"/>
  <c r="X13" i="1"/>
  <c r="O13" i="1"/>
  <c r="P13" i="1" s="1"/>
  <c r="H13" i="1"/>
  <c r="E13" i="1"/>
  <c r="C13" i="1"/>
  <c r="X12" i="1"/>
  <c r="O12" i="1"/>
  <c r="P12" i="1" s="1"/>
  <c r="H12" i="1"/>
  <c r="E12" i="1"/>
  <c r="C12" i="1"/>
  <c r="D12" i="1" s="1"/>
  <c r="X11" i="1"/>
  <c r="O11" i="1"/>
  <c r="P11" i="1" s="1"/>
  <c r="H11" i="1"/>
  <c r="E11" i="1"/>
  <c r="C11" i="1"/>
  <c r="X10" i="1"/>
  <c r="O10" i="1"/>
  <c r="P10" i="1" s="1"/>
  <c r="H10" i="1"/>
  <c r="E10" i="1"/>
  <c r="C10" i="1"/>
  <c r="X9" i="1"/>
  <c r="O9" i="1"/>
  <c r="P9" i="1" s="1"/>
  <c r="H9" i="1"/>
  <c r="E9" i="1"/>
  <c r="C9" i="1"/>
  <c r="D9" i="1" s="1"/>
  <c r="F9" i="1" s="1"/>
  <c r="X8" i="1"/>
  <c r="O8" i="1"/>
  <c r="P8" i="1" s="1"/>
  <c r="H8" i="1"/>
  <c r="E8" i="1"/>
  <c r="C8" i="1"/>
  <c r="D8" i="1" s="1"/>
  <c r="X7" i="1"/>
  <c r="O7" i="1"/>
  <c r="P7" i="1" s="1"/>
  <c r="H7" i="1"/>
  <c r="E7" i="1"/>
  <c r="C7" i="1"/>
  <c r="D7" i="1" s="1"/>
  <c r="X6" i="1"/>
  <c r="O6" i="1"/>
  <c r="P6" i="1" s="1"/>
  <c r="H6" i="1"/>
  <c r="E6" i="1"/>
  <c r="C6" i="1"/>
  <c r="X5" i="1"/>
  <c r="O5" i="1"/>
  <c r="P5" i="1" s="1"/>
  <c r="H5" i="1"/>
  <c r="E5" i="1"/>
  <c r="C5" i="1"/>
  <c r="X4" i="1"/>
  <c r="O4" i="1"/>
  <c r="P4" i="1" s="1"/>
  <c r="H4" i="1"/>
  <c r="E4" i="1"/>
  <c r="C4" i="1"/>
  <c r="D4" i="1" s="1"/>
  <c r="X3" i="1"/>
  <c r="O3" i="1"/>
  <c r="P3" i="1" s="1"/>
  <c r="H3" i="1"/>
  <c r="E3" i="1"/>
  <c r="C3" i="1"/>
  <c r="D3" i="1" s="1"/>
  <c r="F3" i="1" s="1"/>
  <c r="K28" i="1" l="1"/>
  <c r="U28" i="1"/>
  <c r="F28" i="1"/>
  <c r="F22" i="1"/>
  <c r="J22" i="1" s="1"/>
  <c r="G35" i="1"/>
  <c r="K35" i="1" s="1"/>
  <c r="G18" i="1"/>
  <c r="K18" i="1" s="1"/>
  <c r="W18" i="1"/>
  <c r="J18" i="1"/>
  <c r="D46" i="1"/>
  <c r="G46" i="1" s="1"/>
  <c r="D45" i="1"/>
  <c r="G45" i="1" s="1"/>
  <c r="F16" i="1"/>
  <c r="G16" i="1"/>
  <c r="G38" i="1"/>
  <c r="U38" i="1" s="1"/>
  <c r="F38" i="1"/>
  <c r="W38" i="1" s="1"/>
  <c r="F43" i="1"/>
  <c r="W43" i="1" s="1"/>
  <c r="G21" i="1"/>
  <c r="S21" i="1" s="1"/>
  <c r="D37" i="1"/>
  <c r="F37" i="1" s="1"/>
  <c r="F45" i="1"/>
  <c r="J45" i="1" s="1"/>
  <c r="F35" i="1"/>
  <c r="R35" i="1" s="1"/>
  <c r="D39" i="1"/>
  <c r="F39" i="1" s="1"/>
  <c r="G43" i="1"/>
  <c r="D47" i="1"/>
  <c r="F47" i="1" s="1"/>
  <c r="W47" i="1" s="1"/>
  <c r="G48" i="1"/>
  <c r="K48" i="1" s="1"/>
  <c r="G30" i="1"/>
  <c r="R30" i="1" s="1"/>
  <c r="F31" i="1"/>
  <c r="F48" i="1"/>
  <c r="F36" i="1"/>
  <c r="G36" i="1"/>
  <c r="F44" i="1"/>
  <c r="G44" i="1"/>
  <c r="D40" i="1"/>
  <c r="G40" i="1" s="1"/>
  <c r="D34" i="1"/>
  <c r="G34" i="1" s="1"/>
  <c r="D42" i="1"/>
  <c r="G42" i="1" s="1"/>
  <c r="D32" i="1"/>
  <c r="G32" i="1" s="1"/>
  <c r="F33" i="1"/>
  <c r="F41" i="1"/>
  <c r="W45" i="1"/>
  <c r="G33" i="1"/>
  <c r="G41" i="1"/>
  <c r="F29" i="1"/>
  <c r="R29" i="1" s="1"/>
  <c r="G20" i="1"/>
  <c r="F20" i="1"/>
  <c r="K30" i="1"/>
  <c r="W31" i="1"/>
  <c r="J31" i="1"/>
  <c r="S31" i="1"/>
  <c r="R31" i="1"/>
  <c r="K31" i="1"/>
  <c r="U31" i="1"/>
  <c r="V30" i="1"/>
  <c r="W22" i="1"/>
  <c r="S22" i="1"/>
  <c r="R22" i="1"/>
  <c r="U22" i="1"/>
  <c r="K22" i="1"/>
  <c r="U25" i="1"/>
  <c r="K25" i="1"/>
  <c r="D23" i="1"/>
  <c r="G23" i="1" s="1"/>
  <c r="D24" i="1"/>
  <c r="F24" i="1" s="1"/>
  <c r="U29" i="1"/>
  <c r="J29" i="1"/>
  <c r="D19" i="1"/>
  <c r="G19" i="1" s="1"/>
  <c r="W21" i="1"/>
  <c r="F25" i="1"/>
  <c r="D27" i="1"/>
  <c r="G27" i="1" s="1"/>
  <c r="W30" i="1"/>
  <c r="D26" i="1"/>
  <c r="F26" i="1" s="1"/>
  <c r="D2" i="1"/>
  <c r="G2" i="1" s="1"/>
  <c r="D17" i="1"/>
  <c r="G17" i="1" s="1"/>
  <c r="D15" i="1"/>
  <c r="G15" i="1" s="1"/>
  <c r="G12" i="1"/>
  <c r="U12" i="1" s="1"/>
  <c r="D13" i="1"/>
  <c r="G13" i="1" s="1"/>
  <c r="U13" i="1" s="1"/>
  <c r="F7" i="1"/>
  <c r="J7" i="1" s="1"/>
  <c r="D11" i="1"/>
  <c r="F11" i="1" s="1"/>
  <c r="J11" i="1" s="1"/>
  <c r="G4" i="1"/>
  <c r="U4" i="1" s="1"/>
  <c r="G9" i="1"/>
  <c r="K9" i="1" s="1"/>
  <c r="G7" i="1"/>
  <c r="K7" i="1" s="1"/>
  <c r="G3" i="1"/>
  <c r="R3" i="1" s="1"/>
  <c r="W9" i="1"/>
  <c r="J9" i="1"/>
  <c r="J3" i="1"/>
  <c r="W3" i="1"/>
  <c r="F8" i="1"/>
  <c r="D10" i="1"/>
  <c r="G10" i="1" s="1"/>
  <c r="G8" i="1"/>
  <c r="D5" i="1"/>
  <c r="G5" i="1" s="1"/>
  <c r="F4" i="1"/>
  <c r="D6" i="1"/>
  <c r="G6" i="1" s="1"/>
  <c r="F12" i="1"/>
  <c r="D14" i="1"/>
  <c r="G14" i="1" s="1"/>
  <c r="W29" i="1" l="1"/>
  <c r="R21" i="1"/>
  <c r="K21" i="1"/>
  <c r="V21" i="1" s="1"/>
  <c r="S29" i="1"/>
  <c r="W28" i="1"/>
  <c r="J28" i="1"/>
  <c r="S28" i="1"/>
  <c r="R28" i="1"/>
  <c r="F34" i="1"/>
  <c r="U21" i="1"/>
  <c r="U30" i="1"/>
  <c r="T21" i="1"/>
  <c r="S30" i="1"/>
  <c r="W35" i="1"/>
  <c r="S35" i="1"/>
  <c r="J43" i="1"/>
  <c r="T43" i="1" s="1"/>
  <c r="F40" i="1"/>
  <c r="J35" i="1"/>
  <c r="U35" i="1"/>
  <c r="R43" i="1"/>
  <c r="U18" i="1"/>
  <c r="R18" i="1"/>
  <c r="S18" i="1"/>
  <c r="V18" i="1"/>
  <c r="T18" i="1"/>
  <c r="K45" i="1"/>
  <c r="V45" i="1" s="1"/>
  <c r="U45" i="1"/>
  <c r="S45" i="1"/>
  <c r="K46" i="1"/>
  <c r="U46" i="1"/>
  <c r="S38" i="1"/>
  <c r="F32" i="1"/>
  <c r="W32" i="1" s="1"/>
  <c r="K38" i="1"/>
  <c r="U48" i="1"/>
  <c r="R45" i="1"/>
  <c r="J38" i="1"/>
  <c r="G39" i="1"/>
  <c r="S39" i="1" s="1"/>
  <c r="F17" i="1"/>
  <c r="R17" i="1" s="1"/>
  <c r="R38" i="1"/>
  <c r="F46" i="1"/>
  <c r="R46" i="1" s="1"/>
  <c r="J16" i="1"/>
  <c r="R16" i="1"/>
  <c r="S16" i="1"/>
  <c r="W16" i="1"/>
  <c r="U16" i="1"/>
  <c r="K16" i="1"/>
  <c r="J37" i="1"/>
  <c r="W37" i="1"/>
  <c r="W39" i="1"/>
  <c r="J39" i="1"/>
  <c r="T30" i="1"/>
  <c r="G24" i="1"/>
  <c r="S24" i="1" s="1"/>
  <c r="J47" i="1"/>
  <c r="K43" i="1"/>
  <c r="U43" i="1"/>
  <c r="S43" i="1"/>
  <c r="F13" i="1"/>
  <c r="S13" i="1" s="1"/>
  <c r="G37" i="1"/>
  <c r="G47" i="1"/>
  <c r="S47" i="1" s="1"/>
  <c r="F42" i="1"/>
  <c r="R42" i="1" s="1"/>
  <c r="W48" i="1"/>
  <c r="J48" i="1"/>
  <c r="S48" i="1"/>
  <c r="R48" i="1"/>
  <c r="K32" i="1"/>
  <c r="U32" i="1"/>
  <c r="K40" i="1"/>
  <c r="U40" i="1"/>
  <c r="U42" i="1"/>
  <c r="K42" i="1"/>
  <c r="U44" i="1"/>
  <c r="K44" i="1"/>
  <c r="T38" i="1"/>
  <c r="S44" i="1"/>
  <c r="R44" i="1"/>
  <c r="W44" i="1"/>
  <c r="J44" i="1"/>
  <c r="K41" i="1"/>
  <c r="U41" i="1"/>
  <c r="T45" i="1"/>
  <c r="S32" i="1"/>
  <c r="J33" i="1"/>
  <c r="S33" i="1"/>
  <c r="R33" i="1"/>
  <c r="W33" i="1"/>
  <c r="K36" i="1"/>
  <c r="U36" i="1"/>
  <c r="J41" i="1"/>
  <c r="S41" i="1"/>
  <c r="R41" i="1"/>
  <c r="W41" i="1"/>
  <c r="U34" i="1"/>
  <c r="K34" i="1"/>
  <c r="K33" i="1"/>
  <c r="U33" i="1"/>
  <c r="S36" i="1"/>
  <c r="R36" i="1"/>
  <c r="J36" i="1"/>
  <c r="W36" i="1"/>
  <c r="J34" i="1"/>
  <c r="S34" i="1"/>
  <c r="R34" i="1"/>
  <c r="W34" i="1"/>
  <c r="V43" i="1"/>
  <c r="W40" i="1"/>
  <c r="J40" i="1"/>
  <c r="R40" i="1"/>
  <c r="S40" i="1"/>
  <c r="T35" i="1"/>
  <c r="V35" i="1"/>
  <c r="F27" i="1"/>
  <c r="S27" i="1" s="1"/>
  <c r="W26" i="1"/>
  <c r="J26" i="1"/>
  <c r="K23" i="1"/>
  <c r="U23" i="1"/>
  <c r="T22" i="1"/>
  <c r="V22" i="1"/>
  <c r="V29" i="1"/>
  <c r="T29" i="1"/>
  <c r="G26" i="1"/>
  <c r="S26" i="1" s="1"/>
  <c r="F19" i="1"/>
  <c r="F23" i="1"/>
  <c r="K24" i="1"/>
  <c r="U24" i="1"/>
  <c r="K20" i="1"/>
  <c r="U20" i="1"/>
  <c r="K27" i="1"/>
  <c r="U27" i="1"/>
  <c r="J24" i="1"/>
  <c r="R24" i="1"/>
  <c r="W24" i="1"/>
  <c r="R20" i="1"/>
  <c r="W20" i="1"/>
  <c r="J20" i="1"/>
  <c r="S20" i="1"/>
  <c r="T31" i="1"/>
  <c r="V31" i="1"/>
  <c r="K19" i="1"/>
  <c r="U19" i="1"/>
  <c r="R25" i="1"/>
  <c r="J25" i="1"/>
  <c r="S25" i="1"/>
  <c r="W25" i="1"/>
  <c r="K4" i="1"/>
  <c r="F5" i="1"/>
  <c r="S5" i="1" s="1"/>
  <c r="F15" i="1"/>
  <c r="J15" i="1" s="1"/>
  <c r="T15" i="1" s="1"/>
  <c r="K12" i="1"/>
  <c r="U2" i="1"/>
  <c r="K2" i="1"/>
  <c r="F2" i="1"/>
  <c r="K15" i="1"/>
  <c r="U15" i="1"/>
  <c r="K17" i="1"/>
  <c r="U17" i="1"/>
  <c r="K13" i="1"/>
  <c r="U9" i="1"/>
  <c r="W11" i="1"/>
  <c r="G11" i="1"/>
  <c r="R11" i="1" s="1"/>
  <c r="R7" i="1"/>
  <c r="U7" i="1"/>
  <c r="S9" i="1"/>
  <c r="K3" i="1"/>
  <c r="V3" i="1" s="1"/>
  <c r="U3" i="1"/>
  <c r="S3" i="1"/>
  <c r="S7" i="1"/>
  <c r="R9" i="1"/>
  <c r="W7" i="1"/>
  <c r="K10" i="1"/>
  <c r="U10" i="1"/>
  <c r="W8" i="1"/>
  <c r="R8" i="1"/>
  <c r="J8" i="1"/>
  <c r="S8" i="1"/>
  <c r="F14" i="1"/>
  <c r="K6" i="1"/>
  <c r="U6" i="1"/>
  <c r="F10" i="1"/>
  <c r="F6" i="1"/>
  <c r="U5" i="1"/>
  <c r="K5" i="1"/>
  <c r="J12" i="1"/>
  <c r="S12" i="1"/>
  <c r="R12" i="1"/>
  <c r="W12" i="1"/>
  <c r="S4" i="1"/>
  <c r="R4" i="1"/>
  <c r="J4" i="1"/>
  <c r="W4" i="1"/>
  <c r="V7" i="1"/>
  <c r="T7" i="1"/>
  <c r="K8" i="1"/>
  <c r="U8" i="1"/>
  <c r="J17" i="1"/>
  <c r="S17" i="1"/>
  <c r="V9" i="1"/>
  <c r="T9" i="1"/>
  <c r="K14" i="1"/>
  <c r="U14" i="1"/>
  <c r="T3" i="1"/>
  <c r="T11" i="1"/>
  <c r="W27" i="1" l="1"/>
  <c r="V28" i="1"/>
  <c r="T28" i="1"/>
  <c r="R32" i="1"/>
  <c r="S46" i="1"/>
  <c r="J32" i="1"/>
  <c r="T37" i="1"/>
  <c r="W46" i="1"/>
  <c r="J46" i="1"/>
  <c r="J13" i="1"/>
  <c r="T13" i="1" s="1"/>
  <c r="W13" i="1"/>
  <c r="U39" i="1"/>
  <c r="K39" i="1"/>
  <c r="V39" i="1" s="1"/>
  <c r="R39" i="1"/>
  <c r="T39" i="1"/>
  <c r="V38" i="1"/>
  <c r="W17" i="1"/>
  <c r="J42" i="1"/>
  <c r="T42" i="1" s="1"/>
  <c r="W42" i="1"/>
  <c r="S42" i="1"/>
  <c r="S11" i="1"/>
  <c r="S15" i="1"/>
  <c r="V16" i="1"/>
  <c r="T16" i="1"/>
  <c r="R27" i="1"/>
  <c r="J27" i="1"/>
  <c r="T27" i="1" s="1"/>
  <c r="K47" i="1"/>
  <c r="V47" i="1" s="1"/>
  <c r="U47" i="1"/>
  <c r="R13" i="1"/>
  <c r="J5" i="1"/>
  <c r="V5" i="1" s="1"/>
  <c r="W15" i="1"/>
  <c r="T47" i="1"/>
  <c r="W5" i="1"/>
  <c r="V15" i="1"/>
  <c r="U37" i="1"/>
  <c r="K37" i="1"/>
  <c r="V37" i="1" s="1"/>
  <c r="R5" i="1"/>
  <c r="R47" i="1"/>
  <c r="S37" i="1"/>
  <c r="R37" i="1"/>
  <c r="V48" i="1"/>
  <c r="T48" i="1"/>
  <c r="V36" i="1"/>
  <c r="T36" i="1"/>
  <c r="V32" i="1"/>
  <c r="T32" i="1"/>
  <c r="V44" i="1"/>
  <c r="T44" i="1"/>
  <c r="V33" i="1"/>
  <c r="T33" i="1"/>
  <c r="V42" i="1"/>
  <c r="V41" i="1"/>
  <c r="T41" i="1"/>
  <c r="V40" i="1"/>
  <c r="T40" i="1"/>
  <c r="T34" i="1"/>
  <c r="V34" i="1"/>
  <c r="R26" i="1"/>
  <c r="V20" i="1"/>
  <c r="T20" i="1"/>
  <c r="W23" i="1"/>
  <c r="J23" i="1"/>
  <c r="S23" i="1"/>
  <c r="R23" i="1"/>
  <c r="U26" i="1"/>
  <c r="K26" i="1"/>
  <c r="V26" i="1" s="1"/>
  <c r="T25" i="1"/>
  <c r="V25" i="1"/>
  <c r="S19" i="1"/>
  <c r="R19" i="1"/>
  <c r="W19" i="1"/>
  <c r="J19" i="1"/>
  <c r="T26" i="1"/>
  <c r="V24" i="1"/>
  <c r="T24" i="1"/>
  <c r="R15" i="1"/>
  <c r="J2" i="1"/>
  <c r="S2" i="1"/>
  <c r="W2" i="1"/>
  <c r="R2" i="1"/>
  <c r="U11" i="1"/>
  <c r="K11" i="1"/>
  <c r="V11" i="1" s="1"/>
  <c r="S6" i="1"/>
  <c r="R6" i="1"/>
  <c r="W6" i="1"/>
  <c r="J6" i="1"/>
  <c r="W10" i="1"/>
  <c r="J10" i="1"/>
  <c r="S10" i="1"/>
  <c r="R10" i="1"/>
  <c r="V8" i="1"/>
  <c r="T8" i="1"/>
  <c r="V4" i="1"/>
  <c r="T4" i="1"/>
  <c r="T12" i="1"/>
  <c r="V12" i="1"/>
  <c r="S14" i="1"/>
  <c r="R14" i="1"/>
  <c r="W14" i="1"/>
  <c r="J14" i="1"/>
  <c r="V17" i="1"/>
  <c r="T17" i="1"/>
  <c r="T46" i="1" l="1"/>
  <c r="V46" i="1"/>
  <c r="V13" i="1"/>
  <c r="T5" i="1"/>
  <c r="V27" i="1"/>
  <c r="T19" i="1"/>
  <c r="V19" i="1"/>
  <c r="T23" i="1"/>
  <c r="V23" i="1"/>
  <c r="V2" i="1"/>
  <c r="T2" i="1"/>
  <c r="V10" i="1"/>
  <c r="T10" i="1"/>
  <c r="T14" i="1"/>
  <c r="V14" i="1"/>
  <c r="T6" i="1"/>
  <c r="V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Uwe Matzner</author>
  </authors>
  <commentList>
    <comment ref="Q1" authorId="0" shapeId="0" xr:uid="{374381D1-4FA5-4612-8EDA-803183792958}">
      <text>
        <r>
          <rPr>
            <sz val="9"/>
            <color indexed="81"/>
            <rFont val="Tahoma"/>
            <family val="2"/>
          </rPr>
          <t xml:space="preserve">Farbgebung: 
rot: falsche eMail 
grün: Presse-/Marktforschungskontakt, Studienbesteller
blau: funktionierende eMail-Adresse
schwarz: default
in Spalte Q zunächst Adressen aus Spalte R einfügen (Kopie als Werte), nachweislich korrekte eMails direkt eintragen und blau färben. Die Spalte Q muss immer komplett gefüllt sein, weil sie für den eMail-Versand benötigt wird.
</t>
        </r>
      </text>
    </comment>
  </commentList>
</comments>
</file>

<file path=xl/sharedStrings.xml><?xml version="1.0" encoding="utf-8"?>
<sst xmlns="http://schemas.openxmlformats.org/spreadsheetml/2006/main" count="440" uniqueCount="186">
  <si>
    <t>Firma</t>
  </si>
  <si>
    <t>VN+NN kopiert mit Umlaute</t>
  </si>
  <si>
    <t>VN+NN ohneUmlaute</t>
  </si>
  <si>
    <t>Länge Vorname</t>
  </si>
  <si>
    <t>Länge Vorname MailMerge</t>
  </si>
  <si>
    <t>Vorname</t>
  </si>
  <si>
    <t>Nachname</t>
  </si>
  <si>
    <t>Nachname MailMerge</t>
  </si>
  <si>
    <t>Anrede</t>
  </si>
  <si>
    <t>Initiale Vorname</t>
  </si>
  <si>
    <t>Initiale Nachname</t>
  </si>
  <si>
    <t>Titel</t>
  </si>
  <si>
    <t>Position</t>
  </si>
  <si>
    <t>Unternehmens E-mail</t>
  </si>
  <si>
    <t>Formel-variable</t>
  </si>
  <si>
    <t>Hinweis-Homepage</t>
  </si>
  <si>
    <t>richtige eMail</t>
  </si>
  <si>
    <t>Vorname + Nachname</t>
  </si>
  <si>
    <t>Vorname + Nachname ohne Punkt</t>
  </si>
  <si>
    <t>Initiale + Nachname</t>
  </si>
  <si>
    <t>Nur Nachname</t>
  </si>
  <si>
    <t>Nur Initialen</t>
  </si>
  <si>
    <t>Nur Vornamen</t>
  </si>
  <si>
    <t>Firma 2</t>
  </si>
  <si>
    <t>Straße</t>
  </si>
  <si>
    <t>Ort</t>
  </si>
  <si>
    <t>Land</t>
  </si>
  <si>
    <t>Telefon (zentral)</t>
  </si>
  <si>
    <t>Telefon</t>
  </si>
  <si>
    <t>Handy</t>
  </si>
  <si>
    <t>Fax</t>
  </si>
  <si>
    <t>Internet</t>
  </si>
  <si>
    <t>letzter Kontakt</t>
  </si>
  <si>
    <t>Bemerkungen</t>
  </si>
  <si>
    <t>Geburtstag</t>
  </si>
  <si>
    <t>Sekretärin</t>
  </si>
  <si>
    <t>Branche 1</t>
  </si>
  <si>
    <t>DL - KK</t>
  </si>
  <si>
    <t>B - LS</t>
  </si>
  <si>
    <t>V - SV</t>
  </si>
  <si>
    <t>B - BGT</t>
  </si>
  <si>
    <t>G - GSD</t>
  </si>
  <si>
    <t>B - BK</t>
  </si>
  <si>
    <t>Aareal Bank AG</t>
  </si>
  <si>
    <t>Herrn</t>
  </si>
  <si>
    <t>Director Corporate Communications &amp; Public Relations</t>
  </si>
  <si>
    <t>Impressum@aareal-bank.com</t>
  </si>
  <si>
    <t>Frau</t>
  </si>
  <si>
    <t>Manager Marketing Communications</t>
  </si>
  <si>
    <t>Paulinenstrasse 15</t>
  </si>
  <si>
    <t>65189 Wiesbaden</t>
  </si>
  <si>
    <t>www.aareal-bank.com</t>
  </si>
  <si>
    <t>E-Mail am 25.05.2011</t>
  </si>
  <si>
    <t>Corporate Communications Manager</t>
  </si>
  <si>
    <t>neu recherchierter Xing-Kontakt Feb 2019</t>
  </si>
  <si>
    <t>Leiter Business Development</t>
  </si>
  <si>
    <t>Senior Manager Corporate Communications / Marketing Communications</t>
  </si>
  <si>
    <t>http://www.aareal-bank.com/</t>
  </si>
  <si>
    <t>.</t>
  </si>
  <si>
    <t>Assistenz des Direktors Marketing und Kommunikation</t>
  </si>
  <si>
    <t>Corporate Communications</t>
  </si>
  <si>
    <t>Manager Risk Communications</t>
  </si>
  <si>
    <t>Director Corporate Communications -Marketing Communiations</t>
  </si>
  <si>
    <t>Steffi Wenkel</t>
  </si>
  <si>
    <t>Corporate Communications/Public Relations</t>
  </si>
  <si>
    <t>steffi.wenkel@aareal-bank.com</t>
  </si>
  <si>
    <t>Sven H. Korndörffer</t>
  </si>
  <si>
    <t>Managing Director Corporate Communications</t>
  </si>
  <si>
    <t>Thomas Mitzel</t>
  </si>
  <si>
    <t>Senior Manager</t>
  </si>
  <si>
    <t>thomas.mitzel@aareal-bank.com</t>
  </si>
  <si>
    <t>Senior Manager Corporate Communications/Public Relations</t>
  </si>
  <si>
    <t>Werbebrief Mai 2023/E-Mail von Markus Müller vom 15.09.2016</t>
  </si>
  <si>
    <t>wegen Paid Search Monitoring Banken</t>
  </si>
  <si>
    <t>marketing@aareal-bank.com</t>
  </si>
  <si>
    <t>Jan Königshofen</t>
  </si>
  <si>
    <t>Stephanie Windeck</t>
  </si>
  <si>
    <t>Andrea Reinartz</t>
  </si>
  <si>
    <t>Dirk Bittmann</t>
  </si>
  <si>
    <t>Dirk Ferwer</t>
  </si>
  <si>
    <t>Hassan Madani</t>
  </si>
  <si>
    <t>Laura Vetten</t>
  </si>
  <si>
    <t>Michael von Röpenack</t>
  </si>
  <si>
    <t>Sabine Armgart</t>
  </si>
  <si>
    <t>Dr.</t>
  </si>
  <si>
    <t>jan.koenigshofen@aareal-bank.com</t>
  </si>
  <si>
    <t>stephanie.windeck@aareal-bank.com</t>
  </si>
  <si>
    <t>andrea.reinartz@aareal-bank.com</t>
  </si>
  <si>
    <t>dirk.bittmann@aareal-bank.com</t>
  </si>
  <si>
    <t>dirk.ferwer@aareal-bank.com</t>
  </si>
  <si>
    <t>hassan.madani@aareal-bank.com</t>
  </si>
  <si>
    <t>laura.vetten@aareal-bank.com</t>
  </si>
  <si>
    <t>michael.von roepenack@aareal-bank.com</t>
  </si>
  <si>
    <t>sabine.armgart@aareal-bank.com</t>
  </si>
  <si>
    <t>sven.h. korndoerffer@aareal-bank.com</t>
  </si>
  <si>
    <t>ulrike.m.c.lohrer@aareal-bank.com</t>
  </si>
  <si>
    <t>Bestellt die 'Studie Social Media-Performance Beispiel 2023'</t>
  </si>
  <si>
    <t>Bestellt die 'Studie Social Media-Performance Beispiel 2025'</t>
  </si>
  <si>
    <t>E-Mail am 25.05.2025</t>
  </si>
  <si>
    <t>E-Mail am 25.05.2023</t>
  </si>
  <si>
    <t>Hat Interesse an der 'Studie Social Media-Performance Beispiel 2025'</t>
  </si>
  <si>
    <t>Hat kein Interesse an der 'Studie Social Media-Performance Beispiel 2025'</t>
  </si>
  <si>
    <t>ADAC Finanzdienste GmbH</t>
  </si>
  <si>
    <t>Leiter Marketing und Vertrieb</t>
  </si>
  <si>
    <t>adac@adac.de</t>
  </si>
  <si>
    <t>Am Westpark 8</t>
  </si>
  <si>
    <t>81373 München</t>
  </si>
  <si>
    <t>Online Marketing</t>
  </si>
  <si>
    <t>Hansastraße 19</t>
  </si>
  <si>
    <t>80686 München</t>
  </si>
  <si>
    <t>Leiter Produktmanagement Autokredit</t>
  </si>
  <si>
    <t>Marketingreferentin</t>
  </si>
  <si>
    <t>Anruf und E-Mail vom 18.06.2015 (wegen Studie Marketing-Mix-Analyse Kreditkarten 2015) / ihr Bestellfax vom 12.04.2013</t>
  </si>
  <si>
    <t>sie bestellt die Studie Marketing-Mix-Analyse Kreditkarten 2013</t>
  </si>
  <si>
    <t>Leiter Marketing &amp; Vertrieb</t>
  </si>
  <si>
    <t>Produktmanagerin</t>
  </si>
  <si>
    <t>Junior Marketing Referentin</t>
  </si>
  <si>
    <t>Referent Online Marketing &amp; Digitalisierung</t>
  </si>
  <si>
    <t>Referentin Marketing, Ansprechpartnerin</t>
  </si>
  <si>
    <t>Leiterin Produktmanagement &amp; Marketing</t>
  </si>
  <si>
    <t>Presse</t>
  </si>
  <si>
    <t>aktuell@adac.de</t>
  </si>
  <si>
    <t>Werbebrief Mai 2023</t>
  </si>
  <si>
    <t>bestellt die 'Marketing-Mix-Analyse Autokredit 2016'</t>
  </si>
  <si>
    <t xml:space="preserve"> bestellt die 'Marketing-Mix-Analyse Autokredit 2016' für Michael Mehnert</t>
  </si>
  <si>
    <t>bestellt die 'Studie Bankzielgruppe Ratenkreditnehmer 2024'; bestellte die Marketing-Mix Analyse Autokredit 2020; Sie ist generell interessiert an Kreditkarten- und Autokreditstudien</t>
  </si>
  <si>
    <t>E-Mail-Bestellung  vom 22.08.2016</t>
  </si>
  <si>
    <t xml:space="preserve">E-Mail-Bestellung  vom 22.08.2016 </t>
  </si>
  <si>
    <t>Augsburger Aktienbank AG</t>
  </si>
  <si>
    <t>Marketing</t>
  </si>
  <si>
    <t>info@aab.de</t>
  </si>
  <si>
    <t>Marketingmanager</t>
  </si>
  <si>
    <t>info@netbank.de</t>
  </si>
  <si>
    <t>Abteilung netbank Marketing</t>
  </si>
  <si>
    <t>Max-Brauer-Allee 62-64</t>
  </si>
  <si>
    <t>22765 Hamburg</t>
  </si>
  <si>
    <t>E-Mail am 01.06.2011</t>
  </si>
  <si>
    <t>sehr freundlich; Nachfolger von Herrn Rehmann; E-Mail zurückgekommen am 01.06.2011</t>
  </si>
  <si>
    <t>Marketing &amp; Öffentlichkeitsarbeit</t>
  </si>
  <si>
    <t>(stv.) Abteilungsleiter Vertrieb</t>
  </si>
  <si>
    <t>Assistentin der Geschäftsführung</t>
  </si>
  <si>
    <t>Pressestelle</t>
  </si>
  <si>
    <t>presse@netbank.de</t>
  </si>
  <si>
    <t>Mitarbeiterin Presse</t>
  </si>
  <si>
    <t>Anruf und E-Mail am 26.06.2013 (wegen Studie Marketing der Banken in Vergleichsportalen)</t>
  </si>
  <si>
    <t>Marketing Management</t>
  </si>
  <si>
    <t>E-Mail am 13.08.2014 wegen (Marketing-Mix-Analyse Autokredit 2014)E-Mail vom 17.07.2013 (wegen Studie Marketing-Mix-Analyse Kreditkarten 2013)</t>
  </si>
  <si>
    <t>Abteilungsleiter Marketing/Öffentlichkeitsarbeit</t>
  </si>
  <si>
    <t>Produktmanager</t>
  </si>
  <si>
    <t>anscheinend für Anlageprodukte tätig</t>
  </si>
  <si>
    <t>marketing@aab.de</t>
  </si>
  <si>
    <t>marketing@netbank.de</t>
  </si>
  <si>
    <t>Prof.</t>
  </si>
  <si>
    <t>Ulrike M.C.Lohrer</t>
  </si>
  <si>
    <t>Max Mustermann</t>
  </si>
  <si>
    <t>Social Media Manager</t>
  </si>
  <si>
    <t>max.mustermann@aareal-bank.com</t>
  </si>
  <si>
    <t>Mona Musterfrau</t>
  </si>
  <si>
    <t>Stephanie Hauser</t>
  </si>
  <si>
    <t>stephanie.windeck@adac.de</t>
  </si>
  <si>
    <t>jan.koenigshofen@aab.de</t>
  </si>
  <si>
    <t>stephanie.windeck@netbank.de</t>
  </si>
  <si>
    <t>andrea.reinartz@netbank.de</t>
  </si>
  <si>
    <t>dirk.bittmann@netbank.de</t>
  </si>
  <si>
    <t>dirk.ferwer@aab.de</t>
  </si>
  <si>
    <t>hassan.madani@aab.de</t>
  </si>
  <si>
    <t>laura.vetten@netbank.de</t>
  </si>
  <si>
    <t>michael.von roepenack@aab.de</t>
  </si>
  <si>
    <t>sabine.armgart@netbank.de</t>
  </si>
  <si>
    <t>steffi.wenkel@netbank.de</t>
  </si>
  <si>
    <t>sven.h. korndoerffer@netbank.de</t>
  </si>
  <si>
    <t>thomas.mitzel@netbank.de</t>
  </si>
  <si>
    <t>ulrike.m.c.lohrer@aab.de</t>
  </si>
  <si>
    <t>max.mustermann@netbank.de</t>
  </si>
  <si>
    <t>Mona Muster</t>
  </si>
  <si>
    <t>jan.koenigshofen@adac.de</t>
  </si>
  <si>
    <t>andrea.reinartz@adac.de</t>
  </si>
  <si>
    <t>dirk.bittmann@adac.de</t>
  </si>
  <si>
    <t>dirk.ferwer@adac.de</t>
  </si>
  <si>
    <t>hassan.madani@adac.de</t>
  </si>
  <si>
    <t>laura.vetten@adac.de</t>
  </si>
  <si>
    <t>michael.von roepenack@adac.de</t>
  </si>
  <si>
    <t>sabine.armgart@adac.de</t>
  </si>
  <si>
    <t>mona.muster@adac.de</t>
  </si>
  <si>
    <t>mona.musterfrau@adac.de</t>
  </si>
  <si>
    <t>stephanie.hauser@adac.de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</si>
</sst>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49" fontId="5" fillId="0" borderId="0" xfId="0" applyNumberFormat="1" applyFont="1" applyAlignment="1" applyProtection="1">
      <alignment vertical="top"/>
      <protection locked="0"/>
    </xf>
    <xf numFmtId="0" fontId="4" fillId="0" borderId="0" xfId="1" applyFont="1" applyAlignment="1" applyProtection="1">
      <alignment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6" fillId="0" borderId="0" xfId="2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6" fillId="0" borderId="0" xfId="2" applyFont="1" applyAlignment="1" applyProtection="1">
      <alignment horizontal="left" vertical="center"/>
      <protection locked="0"/>
    </xf>
    <xf numFmtId="0" fontId="6" fillId="0" borderId="0" xfId="3" applyFont="1" applyAlignment="1" applyProtection="1">
      <alignment vertical="center"/>
      <protection locked="0"/>
    </xf>
    <xf numFmtId="0" fontId="6" fillId="0" borderId="0" xfId="0" applyFont="1"/>
    <xf numFmtId="0" fontId="7" fillId="0" borderId="0" xfId="2" applyFont="1" applyAlignment="1" applyProtection="1">
      <alignment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7" fillId="0" borderId="0" xfId="0" applyFont="1" applyProtection="1">
      <protection locked="0"/>
    </xf>
    <xf numFmtId="0" fontId="7" fillId="0" borderId="0" xfId="3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6" fillId="0" borderId="0" xfId="4" applyFont="1" applyAlignment="1" applyProtection="1">
      <alignment vertical="center"/>
      <protection locked="0"/>
    </xf>
    <xf numFmtId="0" fontId="7" fillId="0" borderId="0" xfId="4" applyFont="1" applyAlignment="1" applyProtection="1">
      <alignment vertical="center"/>
      <protection locked="0"/>
    </xf>
    <xf numFmtId="0" fontId="7" fillId="0" borderId="0" xfId="4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7" fillId="0" borderId="0" xfId="3" applyFont="1" applyAlignment="1" applyProtection="1">
      <alignment horizontal="left" vertical="center"/>
      <protection locked="0"/>
    </xf>
    <xf numFmtId="0" fontId="7" fillId="0" borderId="0" xfId="5" applyProtection="1">
      <protection locked="0"/>
    </xf>
    <xf numFmtId="0" fontId="6" fillId="0" borderId="0" xfId="5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/>
    <xf numFmtId="0" fontId="7" fillId="0" borderId="0" xfId="6" applyFont="1" applyAlignment="1" applyProtection="1"/>
    <xf numFmtId="0" fontId="11" fillId="0" borderId="0" xfId="0" applyFont="1"/>
    <xf numFmtId="0" fontId="1" fillId="0" borderId="0" xfId="0" applyFont="1"/>
    <xf numFmtId="0" fontId="6" fillId="0" borderId="0" xfId="4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</cellXfs>
  <cellStyles count="7">
    <cellStyle name="Link" xfId="6" builtinId="8"/>
    <cellStyle name="Standard" xfId="0" builtinId="0"/>
    <cellStyle name="Standard 2" xfId="1" xr:uid="{3D53F73B-F40E-456C-BEF2-577F3437C294}"/>
    <cellStyle name="Standard 2 2" xfId="2" xr:uid="{5C4D7F3E-AA50-4B3F-BD2F-526D47E58B6A}"/>
    <cellStyle name="Standard 2 2 2 2 2" xfId="4" xr:uid="{3976B281-67AF-41C3-AB63-E43226EFD942}"/>
    <cellStyle name="Standard 2 2 5" xfId="3" xr:uid="{214A8211-7D61-499E-AA73-6FDF6C674059}"/>
    <cellStyle name="Standard 8 2" xfId="5" xr:uid="{E4CA1FF4-207A-477D-9EBC-CA3592C5F25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034C-FBCC-4821-97B2-D7C64C1E02B5}">
  <dimension ref="A1:AMP48"/>
  <sheetViews>
    <sheetView tabSelected="1" topLeftCell="U1" workbookViewId="0">
      <selection activeCell="AC11" sqref="AC11"/>
    </sheetView>
  </sheetViews>
  <sheetFormatPr baseColWidth="10" defaultRowHeight="14.4" x14ac:dyDescent="0.3"/>
  <cols>
    <col min="1" max="1" width="24.33203125" customWidth="1"/>
    <col min="2" max="2" width="17.5546875" customWidth="1"/>
    <col min="13" max="13" width="30.33203125" customWidth="1"/>
    <col min="14" max="14" width="11.44140625" customWidth="1"/>
    <col min="15" max="15" width="5" customWidth="1"/>
    <col min="17" max="17" width="31.21875" customWidth="1"/>
  </cols>
  <sheetData>
    <row r="1" spans="1:43" ht="25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0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8" t="s">
        <v>37</v>
      </c>
      <c r="AN1" s="6" t="s">
        <v>38</v>
      </c>
      <c r="AO1" s="6" t="s">
        <v>39</v>
      </c>
      <c r="AP1" s="6" t="s">
        <v>40</v>
      </c>
      <c r="AQ1" s="6" t="s">
        <v>41</v>
      </c>
    </row>
    <row r="2" spans="1:43" ht="12.75" customHeight="1" x14ac:dyDescent="0.3">
      <c r="A2" s="12" t="s">
        <v>43</v>
      </c>
      <c r="B2" s="17"/>
      <c r="C2" s="10" t="str">
        <f t="shared" ref="C2" si="0">SUBSTITUTE(SUBSTITUTE(SUBSTITUTE(SUBSTITUTE(SUBSTITUTE(SUBSTITUTE(SUBSTITUTE(SUBSTITUTE(B2,"ß","ss"),"ä","ae"),"ö","oe"),"ü","ue"),"Ü","Ue"),"Ö","Oe"),"Ä","Ae"),"é","e")</f>
        <v/>
      </c>
      <c r="D2" s="10" t="e">
        <f t="shared" ref="D2" si="1">FIND(" ",C2)</f>
        <v>#VALUE!</v>
      </c>
      <c r="E2" s="10" t="e">
        <f t="shared" ref="E2" si="2">FIND(" ",B2)</f>
        <v>#VALUE!</v>
      </c>
      <c r="F2" s="10" t="e">
        <f t="shared" ref="F2" si="3">MID(C2,1,D2-1)</f>
        <v>#VALUE!</v>
      </c>
      <c r="G2" s="10" t="e">
        <f t="shared" ref="G2" si="4">MID(C2,D2+1,20)</f>
        <v>#VALUE!</v>
      </c>
      <c r="H2" s="10" t="e">
        <f t="shared" ref="H2" si="5">RIGHT(B2,LEN(B2)-FIND("#",SUBSTITUTE(B2," ","#",LEN(B2)-LEN(SUBSTITUTE(B2," ",)))))</f>
        <v>#VALUE!</v>
      </c>
      <c r="I2" s="23">
        <v>0</v>
      </c>
      <c r="J2" s="10" t="e">
        <f t="shared" ref="J2" si="6">LEFT(F2,1)</f>
        <v>#VALUE!</v>
      </c>
      <c r="K2" s="10" t="e">
        <f t="shared" ref="K2" si="7">LEFT(G2,1)</f>
        <v>#VALUE!</v>
      </c>
      <c r="L2" s="24"/>
      <c r="M2" s="17"/>
      <c r="N2" s="16" t="s">
        <v>46</v>
      </c>
      <c r="O2" s="10">
        <f t="shared" ref="O2" si="8">FIND("@",N2)+1</f>
        <v>11</v>
      </c>
      <c r="P2" s="10" t="str">
        <f t="shared" ref="P2" si="9">MID(N2,O2,30)</f>
        <v>aareal-bank.com</v>
      </c>
      <c r="Q2" s="25" t="s">
        <v>46</v>
      </c>
      <c r="R2" s="10" t="e">
        <f t="shared" ref="R2" si="10">CONCATENATE(LOWER(F2),".",LOWER(G2),"@",P2)</f>
        <v>#VALUE!</v>
      </c>
      <c r="S2" s="10" t="e">
        <f t="shared" ref="S2" si="11">CONCATENATE(LOWER(F2),LOWER(G2),"@",P2)</f>
        <v>#VALUE!</v>
      </c>
      <c r="T2" s="10" t="e">
        <f t="shared" ref="T2" si="12">CONCATENATE(LOWER(J2),".",LOWER(G2),"@",P2)</f>
        <v>#VALUE!</v>
      </c>
      <c r="U2" s="10" t="e">
        <f t="shared" ref="U2" si="13">CONCATENATE(LOWER(G2),"@",P2)</f>
        <v>#VALUE!</v>
      </c>
      <c r="V2" s="10" t="e">
        <f t="shared" ref="V2" si="14">CONCATENATE(LOWER(J2),LOWER(K2),"@",P2)</f>
        <v>#VALUE!</v>
      </c>
      <c r="W2" s="10" t="e">
        <f t="shared" ref="W2" si="15">CONCATENATE(LOWER(F2),"@",P2)</f>
        <v>#VALUE!</v>
      </c>
      <c r="X2" s="17" t="str">
        <f t="shared" ref="X2" si="16">A2</f>
        <v>Aareal Bank AG</v>
      </c>
      <c r="Y2" s="24"/>
      <c r="Z2" s="14" t="s">
        <v>49</v>
      </c>
      <c r="AA2" s="14" t="s">
        <v>50</v>
      </c>
      <c r="AB2" s="14"/>
      <c r="AC2" s="14"/>
      <c r="AD2" s="24"/>
      <c r="AE2" s="16"/>
      <c r="AF2" s="24"/>
      <c r="AG2" s="24"/>
      <c r="AH2" s="24" t="s">
        <v>72</v>
      </c>
      <c r="AI2" s="24" t="s">
        <v>73</v>
      </c>
      <c r="AJ2" s="24"/>
      <c r="AK2" s="24"/>
      <c r="AL2" s="16" t="s">
        <v>42</v>
      </c>
      <c r="AM2" s="16"/>
    </row>
    <row r="3" spans="1:43" ht="12.75" customHeight="1" x14ac:dyDescent="0.3">
      <c r="A3" s="12" t="s">
        <v>43</v>
      </c>
      <c r="B3" s="14" t="s">
        <v>75</v>
      </c>
      <c r="C3" s="10" t="str">
        <f t="shared" ref="C3:C47" si="17">SUBSTITUTE(SUBSTITUTE(SUBSTITUTE(SUBSTITUTE(SUBSTITUTE(SUBSTITUTE(SUBSTITUTE(SUBSTITUTE(B3,"ß","ss"),"ä","ae"),"ö","oe"),"ü","ue"),"Ü","Ue"),"Ö","Oe"),"Ä","Ae"),"é","e")</f>
        <v>Jan Koenigshofen</v>
      </c>
      <c r="D3" s="10">
        <f t="shared" ref="D3:D47" si="18">FIND(" ",C3)</f>
        <v>4</v>
      </c>
      <c r="E3" s="10">
        <f t="shared" ref="E3:E47" si="19">FIND(" ",B3)</f>
        <v>4</v>
      </c>
      <c r="F3" s="10" t="str">
        <f t="shared" ref="F3:F47" si="20">MID(C3,1,D3-1)</f>
        <v>Jan</v>
      </c>
      <c r="G3" s="10" t="str">
        <f t="shared" ref="G3:G47" si="21">MID(C3,D3+1,20)</f>
        <v>Koenigshofen</v>
      </c>
      <c r="H3" s="10" t="str">
        <f t="shared" ref="H3:H47" si="22">RIGHT(B3,LEN(B3)-FIND("#",SUBSTITUTE(B3," ","#",LEN(B3)-LEN(SUBSTITUTE(B3," ",)))))</f>
        <v>Königshofen</v>
      </c>
      <c r="I3" s="15" t="s">
        <v>44</v>
      </c>
      <c r="J3" s="10" t="str">
        <f t="shared" ref="J3:K20" si="23">LEFT(F3,1)</f>
        <v>J</v>
      </c>
      <c r="K3" s="10" t="str">
        <f t="shared" si="23"/>
        <v>K</v>
      </c>
      <c r="L3" s="16"/>
      <c r="M3" s="14" t="s">
        <v>45</v>
      </c>
      <c r="N3" s="16" t="s">
        <v>46</v>
      </c>
      <c r="O3" s="10">
        <f t="shared" ref="O3:O47" si="24">FIND("@",N3)+1</f>
        <v>11</v>
      </c>
      <c r="P3" s="10" t="str">
        <f t="shared" ref="P3:P47" si="25">MID(N3,O3,30)</f>
        <v>aareal-bank.com</v>
      </c>
      <c r="Q3" s="10" t="s">
        <v>85</v>
      </c>
      <c r="R3" s="10" t="str">
        <f t="shared" ref="R3:R47" si="26">CONCATENATE(LOWER(F3),".",LOWER(G3),"@",P3)</f>
        <v>jan.koenigshofen@aareal-bank.com</v>
      </c>
      <c r="S3" s="10" t="str">
        <f t="shared" ref="S3:S47" si="27">CONCATENATE(LOWER(F3),LOWER(G3),"@",P3)</f>
        <v>jankoenigshofen@aareal-bank.com</v>
      </c>
      <c r="T3" s="10" t="str">
        <f t="shared" ref="T3:T47" si="28">CONCATENATE(LOWER(J3),".",LOWER(G3),"@",P3)</f>
        <v>j.koenigshofen@aareal-bank.com</v>
      </c>
      <c r="U3" s="10" t="str">
        <f t="shared" ref="U3:U47" si="29">CONCATENATE(LOWER(G3),"@",P3)</f>
        <v>koenigshofen@aareal-bank.com</v>
      </c>
      <c r="V3" s="10" t="str">
        <f t="shared" ref="V3:V47" si="30">CONCATENATE(LOWER(J3),LOWER(K3),"@",P3)</f>
        <v>jk@aareal-bank.com</v>
      </c>
      <c r="W3" s="10" t="str">
        <f t="shared" ref="W3:W47" si="31">CONCATENATE(LOWER(F3),"@",P3)</f>
        <v>jan@aareal-bank.com</v>
      </c>
      <c r="X3" s="17" t="str">
        <f t="shared" ref="X3:X47" si="32">A3</f>
        <v>Aareal Bank AG</v>
      </c>
      <c r="Y3" s="16"/>
      <c r="Z3" s="16"/>
      <c r="AA3" s="16"/>
      <c r="AB3" s="14"/>
      <c r="AC3" s="16"/>
      <c r="AD3" s="16"/>
      <c r="AE3" s="16"/>
      <c r="AF3" s="16"/>
      <c r="AG3" s="16"/>
      <c r="AH3" s="14" t="s">
        <v>99</v>
      </c>
      <c r="AI3" s="16" t="s">
        <v>96</v>
      </c>
      <c r="AJ3" s="16"/>
      <c r="AK3" s="16"/>
      <c r="AL3" s="16" t="s">
        <v>42</v>
      </c>
      <c r="AM3" s="16"/>
    </row>
    <row r="4" spans="1:43" ht="12.75" customHeight="1" x14ac:dyDescent="0.3">
      <c r="A4" s="9" t="s">
        <v>43</v>
      </c>
      <c r="B4" s="14" t="s">
        <v>76</v>
      </c>
      <c r="C4" s="10" t="str">
        <f t="shared" si="17"/>
        <v>Stephanie Windeck</v>
      </c>
      <c r="D4" s="10">
        <f t="shared" si="18"/>
        <v>10</v>
      </c>
      <c r="E4" s="10">
        <f t="shared" si="19"/>
        <v>10</v>
      </c>
      <c r="F4" s="10" t="str">
        <f t="shared" si="20"/>
        <v>Stephanie</v>
      </c>
      <c r="G4" s="10" t="str">
        <f t="shared" si="21"/>
        <v>Windeck</v>
      </c>
      <c r="H4" s="10" t="str">
        <f t="shared" si="22"/>
        <v>Windeck</v>
      </c>
      <c r="I4" s="15" t="s">
        <v>47</v>
      </c>
      <c r="J4" s="10" t="str">
        <f t="shared" si="23"/>
        <v>S</v>
      </c>
      <c r="K4" s="10" t="str">
        <f t="shared" si="23"/>
        <v>W</v>
      </c>
      <c r="L4" s="14" t="s">
        <v>84</v>
      </c>
      <c r="M4" s="14" t="s">
        <v>48</v>
      </c>
      <c r="N4" s="16" t="s">
        <v>46</v>
      </c>
      <c r="O4" s="10">
        <f t="shared" si="24"/>
        <v>11</v>
      </c>
      <c r="P4" s="10" t="str">
        <f t="shared" si="25"/>
        <v>aareal-bank.com</v>
      </c>
      <c r="Q4" s="13" t="s">
        <v>86</v>
      </c>
      <c r="R4" s="18" t="str">
        <f t="shared" si="26"/>
        <v>stephanie.windeck@aareal-bank.com</v>
      </c>
      <c r="S4" s="10" t="str">
        <f t="shared" si="27"/>
        <v>stephaniewindeck@aareal-bank.com</v>
      </c>
      <c r="T4" s="10" t="str">
        <f t="shared" si="28"/>
        <v>s.windeck@aareal-bank.com</v>
      </c>
      <c r="U4" s="10" t="str">
        <f t="shared" si="29"/>
        <v>windeck@aareal-bank.com</v>
      </c>
      <c r="V4" s="10" t="str">
        <f t="shared" si="30"/>
        <v>sw@aareal-bank.com</v>
      </c>
      <c r="W4" s="10" t="str">
        <f t="shared" si="31"/>
        <v>stephanie@aareal-bank.com</v>
      </c>
      <c r="X4" s="17" t="str">
        <f t="shared" si="32"/>
        <v>Aareal Bank AG</v>
      </c>
      <c r="Y4" s="14"/>
      <c r="Z4" s="14" t="s">
        <v>49</v>
      </c>
      <c r="AA4" s="14" t="s">
        <v>50</v>
      </c>
      <c r="AB4" s="14"/>
      <c r="AC4" s="14"/>
      <c r="AD4" s="14"/>
      <c r="AE4" s="16"/>
      <c r="AF4" s="16"/>
      <c r="AG4" s="16" t="s">
        <v>51</v>
      </c>
      <c r="AH4" s="14" t="s">
        <v>98</v>
      </c>
      <c r="AI4" s="16" t="s">
        <v>97</v>
      </c>
      <c r="AJ4" s="14"/>
      <c r="AK4" s="14"/>
      <c r="AL4" s="16" t="s">
        <v>42</v>
      </c>
      <c r="AM4" s="16"/>
    </row>
    <row r="5" spans="1:43" ht="12.75" customHeight="1" x14ac:dyDescent="0.3">
      <c r="A5" s="19" t="s">
        <v>43</v>
      </c>
      <c r="B5" s="20" t="s">
        <v>77</v>
      </c>
      <c r="C5" s="10" t="str">
        <f t="shared" si="17"/>
        <v>Andrea Reinartz</v>
      </c>
      <c r="D5" s="10">
        <f t="shared" si="18"/>
        <v>7</v>
      </c>
      <c r="E5" s="10">
        <f t="shared" si="19"/>
        <v>7</v>
      </c>
      <c r="F5" s="10" t="str">
        <f t="shared" si="20"/>
        <v>Andrea</v>
      </c>
      <c r="G5" s="10" t="str">
        <f t="shared" si="21"/>
        <v>Reinartz</v>
      </c>
      <c r="H5" s="10" t="str">
        <f t="shared" si="22"/>
        <v>Reinartz</v>
      </c>
      <c r="I5" s="21" t="s">
        <v>47</v>
      </c>
      <c r="J5" s="10" t="str">
        <f t="shared" si="23"/>
        <v>A</v>
      </c>
      <c r="K5" s="10" t="str">
        <f t="shared" si="23"/>
        <v>R</v>
      </c>
      <c r="L5" s="16" t="s">
        <v>152</v>
      </c>
      <c r="M5" s="20" t="s">
        <v>53</v>
      </c>
      <c r="N5" s="16" t="s">
        <v>46</v>
      </c>
      <c r="O5" s="10">
        <f t="shared" si="24"/>
        <v>11</v>
      </c>
      <c r="P5" s="10" t="str">
        <f t="shared" si="25"/>
        <v>aareal-bank.com</v>
      </c>
      <c r="Q5" s="10" t="s">
        <v>87</v>
      </c>
      <c r="R5" s="10" t="str">
        <f t="shared" si="26"/>
        <v>andrea.reinartz@aareal-bank.com</v>
      </c>
      <c r="S5" s="10" t="str">
        <f t="shared" si="27"/>
        <v>andreareinartz@aareal-bank.com</v>
      </c>
      <c r="T5" s="10" t="str">
        <f t="shared" si="28"/>
        <v>a.reinartz@aareal-bank.com</v>
      </c>
      <c r="U5" s="10" t="str">
        <f t="shared" si="29"/>
        <v>reinartz@aareal-bank.com</v>
      </c>
      <c r="V5" s="10" t="str">
        <f t="shared" si="30"/>
        <v>ar@aareal-bank.com</v>
      </c>
      <c r="W5" s="10" t="str">
        <f t="shared" si="31"/>
        <v>andrea@aareal-bank.com</v>
      </c>
      <c r="X5" s="17" t="str">
        <f t="shared" si="32"/>
        <v>Aareal Bank AG</v>
      </c>
      <c r="Y5" s="16"/>
      <c r="Z5" s="16"/>
      <c r="AA5" s="16"/>
      <c r="AB5" s="14"/>
      <c r="AC5" s="22"/>
      <c r="AD5" s="22"/>
      <c r="AE5" s="22"/>
      <c r="AF5" s="22"/>
      <c r="AG5" s="22"/>
      <c r="AH5" s="14" t="s">
        <v>98</v>
      </c>
      <c r="AI5" s="16" t="s">
        <v>100</v>
      </c>
      <c r="AJ5" s="13"/>
      <c r="AK5" s="13"/>
      <c r="AL5" s="16" t="s">
        <v>42</v>
      </c>
      <c r="AM5" s="16"/>
    </row>
    <row r="6" spans="1:43" ht="12.75" customHeight="1" x14ac:dyDescent="0.3">
      <c r="A6" s="9" t="s">
        <v>43</v>
      </c>
      <c r="B6" s="14" t="s">
        <v>78</v>
      </c>
      <c r="C6" s="10" t="str">
        <f t="shared" si="17"/>
        <v>Dirk Bittmann</v>
      </c>
      <c r="D6" s="10">
        <f t="shared" si="18"/>
        <v>5</v>
      </c>
      <c r="E6" s="10">
        <f t="shared" si="19"/>
        <v>5</v>
      </c>
      <c r="F6" s="10" t="str">
        <f t="shared" si="20"/>
        <v>Dirk</v>
      </c>
      <c r="G6" s="10" t="str">
        <f t="shared" si="21"/>
        <v>Bittmann</v>
      </c>
      <c r="H6" s="10" t="str">
        <f t="shared" si="22"/>
        <v>Bittmann</v>
      </c>
      <c r="I6" s="15" t="s">
        <v>44</v>
      </c>
      <c r="J6" s="10" t="str">
        <f t="shared" si="23"/>
        <v>D</v>
      </c>
      <c r="K6" s="10" t="str">
        <f t="shared" si="23"/>
        <v>B</v>
      </c>
      <c r="L6" s="16"/>
      <c r="M6" s="14" t="s">
        <v>55</v>
      </c>
      <c r="N6" s="16" t="s">
        <v>46</v>
      </c>
      <c r="O6" s="10">
        <f t="shared" si="24"/>
        <v>11</v>
      </c>
      <c r="P6" s="10" t="str">
        <f t="shared" si="25"/>
        <v>aareal-bank.com</v>
      </c>
      <c r="Q6" s="10" t="s">
        <v>88</v>
      </c>
      <c r="R6" s="10" t="str">
        <f t="shared" si="26"/>
        <v>dirk.bittmann@aareal-bank.com</v>
      </c>
      <c r="S6" s="10" t="str">
        <f t="shared" si="27"/>
        <v>dirkbittmann@aareal-bank.com</v>
      </c>
      <c r="T6" s="10" t="str">
        <f t="shared" si="28"/>
        <v>d.bittmann@aareal-bank.com</v>
      </c>
      <c r="U6" s="10" t="str">
        <f t="shared" si="29"/>
        <v>bittmann@aareal-bank.com</v>
      </c>
      <c r="V6" s="10" t="str">
        <f t="shared" si="30"/>
        <v>db@aareal-bank.com</v>
      </c>
      <c r="W6" s="10" t="str">
        <f t="shared" si="31"/>
        <v>dirk@aareal-bank.com</v>
      </c>
      <c r="X6" s="17" t="str">
        <f t="shared" si="32"/>
        <v>Aareal Bank AG</v>
      </c>
      <c r="Y6" s="16"/>
      <c r="Z6" s="16"/>
      <c r="AA6" s="16"/>
      <c r="AB6" s="14"/>
      <c r="AC6" s="16"/>
      <c r="AD6" s="16"/>
      <c r="AE6" s="16"/>
      <c r="AF6" s="16"/>
      <c r="AG6" s="16"/>
      <c r="AH6" s="14" t="s">
        <v>98</v>
      </c>
      <c r="AI6" s="16" t="s">
        <v>101</v>
      </c>
      <c r="AJ6" s="16"/>
      <c r="AK6" s="16"/>
      <c r="AL6" s="16" t="s">
        <v>42</v>
      </c>
      <c r="AM6" s="16"/>
    </row>
    <row r="7" spans="1:43" ht="12.75" customHeight="1" x14ac:dyDescent="0.3">
      <c r="A7" s="9" t="s">
        <v>43</v>
      </c>
      <c r="B7" s="20" t="s">
        <v>79</v>
      </c>
      <c r="C7" s="10" t="str">
        <f t="shared" si="17"/>
        <v>Dirk Ferwer</v>
      </c>
      <c r="D7" s="10">
        <f t="shared" si="18"/>
        <v>5</v>
      </c>
      <c r="E7" s="10">
        <f t="shared" si="19"/>
        <v>5</v>
      </c>
      <c r="F7" s="10" t="str">
        <f t="shared" si="20"/>
        <v>Dirk</v>
      </c>
      <c r="G7" s="10" t="str">
        <f t="shared" si="21"/>
        <v>Ferwer</v>
      </c>
      <c r="H7" s="10" t="str">
        <f t="shared" si="22"/>
        <v>Ferwer</v>
      </c>
      <c r="I7" s="15" t="s">
        <v>47</v>
      </c>
      <c r="J7" s="10" t="str">
        <f t="shared" si="23"/>
        <v>D</v>
      </c>
      <c r="K7" s="10" t="str">
        <f t="shared" si="23"/>
        <v>F</v>
      </c>
      <c r="L7" s="14"/>
      <c r="M7" s="14" t="s">
        <v>56</v>
      </c>
      <c r="N7" s="16" t="s">
        <v>46</v>
      </c>
      <c r="O7" s="10">
        <f t="shared" si="24"/>
        <v>11</v>
      </c>
      <c r="P7" s="10" t="str">
        <f t="shared" si="25"/>
        <v>aareal-bank.com</v>
      </c>
      <c r="Q7" s="10" t="s">
        <v>89</v>
      </c>
      <c r="R7" s="10" t="str">
        <f t="shared" si="26"/>
        <v>dirk.ferwer@aareal-bank.com</v>
      </c>
      <c r="S7" s="10" t="str">
        <f t="shared" si="27"/>
        <v>dirkferwer@aareal-bank.com</v>
      </c>
      <c r="T7" s="10" t="str">
        <f t="shared" si="28"/>
        <v>d.ferwer@aareal-bank.com</v>
      </c>
      <c r="U7" s="10" t="str">
        <f t="shared" si="29"/>
        <v>ferwer@aareal-bank.com</v>
      </c>
      <c r="V7" s="10" t="str">
        <f t="shared" si="30"/>
        <v>df@aareal-bank.com</v>
      </c>
      <c r="W7" s="10" t="str">
        <f t="shared" si="31"/>
        <v>dirk@aareal-bank.com</v>
      </c>
      <c r="X7" s="17" t="str">
        <f t="shared" si="32"/>
        <v>Aareal Bank AG</v>
      </c>
      <c r="Y7" s="14"/>
      <c r="Z7" s="14" t="s">
        <v>49</v>
      </c>
      <c r="AA7" s="14" t="s">
        <v>50</v>
      </c>
      <c r="AB7" s="14"/>
      <c r="AC7" s="14"/>
      <c r="AD7" s="14"/>
      <c r="AE7" s="16"/>
      <c r="AF7" s="14"/>
      <c r="AG7" s="14" t="s">
        <v>57</v>
      </c>
      <c r="AH7" s="14" t="s">
        <v>58</v>
      </c>
      <c r="AI7" s="14"/>
      <c r="AJ7" s="14"/>
      <c r="AK7" s="14"/>
      <c r="AL7" s="16" t="s">
        <v>42</v>
      </c>
      <c r="AM7" s="16"/>
    </row>
    <row r="8" spans="1:43" ht="12.75" customHeight="1" x14ac:dyDescent="0.3">
      <c r="A8" s="19" t="s">
        <v>43</v>
      </c>
      <c r="B8" s="20" t="s">
        <v>80</v>
      </c>
      <c r="C8" s="10" t="str">
        <f t="shared" si="17"/>
        <v>Hassan Madani</v>
      </c>
      <c r="D8" s="10">
        <f t="shared" si="18"/>
        <v>7</v>
      </c>
      <c r="E8" s="10">
        <f t="shared" si="19"/>
        <v>7</v>
      </c>
      <c r="F8" s="10" t="str">
        <f t="shared" si="20"/>
        <v>Hassan</v>
      </c>
      <c r="G8" s="10" t="str">
        <f t="shared" si="21"/>
        <v>Madani</v>
      </c>
      <c r="H8" s="10" t="str">
        <f t="shared" si="22"/>
        <v>Madani</v>
      </c>
      <c r="I8" s="21" t="s">
        <v>47</v>
      </c>
      <c r="J8" s="10" t="str">
        <f t="shared" si="23"/>
        <v>H</v>
      </c>
      <c r="K8" s="10" t="str">
        <f t="shared" si="23"/>
        <v>M</v>
      </c>
      <c r="L8" s="16"/>
      <c r="M8" s="20" t="s">
        <v>59</v>
      </c>
      <c r="N8" s="16" t="s">
        <v>46</v>
      </c>
      <c r="O8" s="10">
        <f t="shared" si="24"/>
        <v>11</v>
      </c>
      <c r="P8" s="10" t="str">
        <f t="shared" si="25"/>
        <v>aareal-bank.com</v>
      </c>
      <c r="Q8" s="10" t="s">
        <v>90</v>
      </c>
      <c r="R8" s="10" t="str">
        <f t="shared" si="26"/>
        <v>hassan.madani@aareal-bank.com</v>
      </c>
      <c r="S8" s="10" t="str">
        <f t="shared" si="27"/>
        <v>hassanmadani@aareal-bank.com</v>
      </c>
      <c r="T8" s="10" t="str">
        <f t="shared" si="28"/>
        <v>h.madani@aareal-bank.com</v>
      </c>
      <c r="U8" s="10" t="str">
        <f t="shared" si="29"/>
        <v>madani@aareal-bank.com</v>
      </c>
      <c r="V8" s="10" t="str">
        <f t="shared" si="30"/>
        <v>hm@aareal-bank.com</v>
      </c>
      <c r="W8" s="10" t="str">
        <f t="shared" si="31"/>
        <v>hassan@aareal-bank.com</v>
      </c>
      <c r="X8" s="17" t="str">
        <f t="shared" si="32"/>
        <v>Aareal Bank AG</v>
      </c>
      <c r="Y8" s="16"/>
      <c r="Z8" s="16"/>
      <c r="AA8" s="16"/>
      <c r="AB8" s="14"/>
      <c r="AC8" s="22"/>
      <c r="AD8" s="22"/>
      <c r="AE8" s="22"/>
      <c r="AF8" s="22"/>
      <c r="AG8" s="22"/>
      <c r="AH8" s="22"/>
      <c r="AI8" s="13"/>
      <c r="AJ8" s="13"/>
      <c r="AK8" s="13"/>
      <c r="AL8" s="16" t="s">
        <v>42</v>
      </c>
      <c r="AM8" s="16"/>
    </row>
    <row r="9" spans="1:43" ht="12.75" customHeight="1" x14ac:dyDescent="0.3">
      <c r="A9" s="19" t="s">
        <v>43</v>
      </c>
      <c r="B9" s="20" t="s">
        <v>81</v>
      </c>
      <c r="C9" s="10" t="str">
        <f t="shared" si="17"/>
        <v>Laura Vetten</v>
      </c>
      <c r="D9" s="10">
        <f t="shared" si="18"/>
        <v>6</v>
      </c>
      <c r="E9" s="10">
        <f t="shared" si="19"/>
        <v>6</v>
      </c>
      <c r="F9" s="10" t="str">
        <f t="shared" si="20"/>
        <v>Laura</v>
      </c>
      <c r="G9" s="10" t="str">
        <f t="shared" si="21"/>
        <v>Vetten</v>
      </c>
      <c r="H9" s="10" t="str">
        <f t="shared" si="22"/>
        <v>Vetten</v>
      </c>
      <c r="I9" s="21" t="s">
        <v>47</v>
      </c>
      <c r="J9" s="10" t="str">
        <f t="shared" si="23"/>
        <v>L</v>
      </c>
      <c r="K9" s="10" t="str">
        <f t="shared" si="23"/>
        <v>V</v>
      </c>
      <c r="L9" s="16"/>
      <c r="M9" s="20" t="s">
        <v>60</v>
      </c>
      <c r="N9" s="16" t="s">
        <v>46</v>
      </c>
      <c r="O9" s="10">
        <f t="shared" si="24"/>
        <v>11</v>
      </c>
      <c r="P9" s="10" t="str">
        <f t="shared" si="25"/>
        <v>aareal-bank.com</v>
      </c>
      <c r="Q9" s="10" t="s">
        <v>91</v>
      </c>
      <c r="R9" s="10" t="str">
        <f t="shared" si="26"/>
        <v>laura.vetten@aareal-bank.com</v>
      </c>
      <c r="S9" s="10" t="str">
        <f t="shared" si="27"/>
        <v>lauravetten@aareal-bank.com</v>
      </c>
      <c r="T9" s="10" t="str">
        <f t="shared" si="28"/>
        <v>l.vetten@aareal-bank.com</v>
      </c>
      <c r="U9" s="10" t="str">
        <f t="shared" si="29"/>
        <v>vetten@aareal-bank.com</v>
      </c>
      <c r="V9" s="10" t="str">
        <f t="shared" si="30"/>
        <v>lv@aareal-bank.com</v>
      </c>
      <c r="W9" s="10" t="str">
        <f t="shared" si="31"/>
        <v>laura@aareal-bank.com</v>
      </c>
      <c r="X9" s="17" t="str">
        <f t="shared" si="32"/>
        <v>Aareal Bank AG</v>
      </c>
      <c r="Y9" s="16"/>
      <c r="Z9" s="16"/>
      <c r="AA9" s="16"/>
      <c r="AB9" s="14"/>
      <c r="AC9" s="22"/>
      <c r="AD9" s="22"/>
      <c r="AE9" s="22"/>
      <c r="AF9" s="22"/>
      <c r="AG9" s="22"/>
      <c r="AH9" s="22"/>
      <c r="AI9" s="13"/>
      <c r="AJ9" s="13"/>
      <c r="AK9" s="13"/>
      <c r="AL9" s="10" t="s">
        <v>42</v>
      </c>
      <c r="AM9" s="16"/>
    </row>
    <row r="10" spans="1:43" ht="12.75" customHeight="1" x14ac:dyDescent="0.3">
      <c r="A10" s="19" t="s">
        <v>43</v>
      </c>
      <c r="B10" s="20" t="s">
        <v>82</v>
      </c>
      <c r="C10" s="10" t="str">
        <f t="shared" si="17"/>
        <v>Michael von Roepenack</v>
      </c>
      <c r="D10" s="10">
        <f t="shared" si="18"/>
        <v>8</v>
      </c>
      <c r="E10" s="10">
        <f t="shared" si="19"/>
        <v>8</v>
      </c>
      <c r="F10" s="10" t="str">
        <f t="shared" si="20"/>
        <v>Michael</v>
      </c>
      <c r="G10" s="10" t="str">
        <f t="shared" si="21"/>
        <v>von Roepenack</v>
      </c>
      <c r="H10" s="10" t="str">
        <f t="shared" si="22"/>
        <v>Röpenack</v>
      </c>
      <c r="I10" s="21" t="s">
        <v>44</v>
      </c>
      <c r="J10" s="10" t="str">
        <f t="shared" si="23"/>
        <v>M</v>
      </c>
      <c r="K10" s="10" t="str">
        <f t="shared" si="23"/>
        <v>v</v>
      </c>
      <c r="L10" s="16"/>
      <c r="M10" s="20" t="s">
        <v>61</v>
      </c>
      <c r="N10" s="16" t="s">
        <v>46</v>
      </c>
      <c r="O10" s="10">
        <f t="shared" si="24"/>
        <v>11</v>
      </c>
      <c r="P10" s="10" t="str">
        <f t="shared" si="25"/>
        <v>aareal-bank.com</v>
      </c>
      <c r="Q10" s="10" t="s">
        <v>92</v>
      </c>
      <c r="R10" s="10" t="str">
        <f t="shared" si="26"/>
        <v>michael.von roepenack@aareal-bank.com</v>
      </c>
      <c r="S10" s="10" t="str">
        <f t="shared" si="27"/>
        <v>michaelvon roepenack@aareal-bank.com</v>
      </c>
      <c r="T10" s="10" t="str">
        <f t="shared" si="28"/>
        <v>m.von roepenack@aareal-bank.com</v>
      </c>
      <c r="U10" s="10" t="str">
        <f t="shared" si="29"/>
        <v>von roepenack@aareal-bank.com</v>
      </c>
      <c r="V10" s="10" t="str">
        <f t="shared" si="30"/>
        <v>mv@aareal-bank.com</v>
      </c>
      <c r="W10" s="10" t="str">
        <f t="shared" si="31"/>
        <v>michael@aareal-bank.com</v>
      </c>
      <c r="X10" s="17" t="str">
        <f t="shared" si="32"/>
        <v>Aareal Bank AG</v>
      </c>
      <c r="Y10" s="16"/>
      <c r="Z10" s="16"/>
      <c r="AA10" s="16"/>
      <c r="AB10" s="14"/>
      <c r="AC10" s="22"/>
      <c r="AD10" s="22"/>
      <c r="AE10" s="22"/>
      <c r="AF10" s="22"/>
      <c r="AG10" s="22"/>
      <c r="AH10" s="22"/>
      <c r="AI10" s="13"/>
      <c r="AJ10" s="13"/>
      <c r="AK10" s="13"/>
      <c r="AL10" s="16" t="s">
        <v>42</v>
      </c>
      <c r="AM10" s="16"/>
    </row>
    <row r="11" spans="1:43" ht="12.75" customHeight="1" x14ac:dyDescent="0.3">
      <c r="A11" s="9" t="s">
        <v>43</v>
      </c>
      <c r="B11" s="14" t="s">
        <v>83</v>
      </c>
      <c r="C11" s="10" t="str">
        <f t="shared" si="17"/>
        <v>Sabine Armgart</v>
      </c>
      <c r="D11" s="10">
        <f t="shared" si="18"/>
        <v>7</v>
      </c>
      <c r="E11" s="10">
        <f t="shared" si="19"/>
        <v>7</v>
      </c>
      <c r="F11" s="10" t="str">
        <f t="shared" si="20"/>
        <v>Sabine</v>
      </c>
      <c r="G11" s="10" t="str">
        <f t="shared" si="21"/>
        <v>Armgart</v>
      </c>
      <c r="H11" s="10" t="str">
        <f t="shared" si="22"/>
        <v>Armgart</v>
      </c>
      <c r="I11" s="15" t="s">
        <v>47</v>
      </c>
      <c r="J11" s="10" t="str">
        <f t="shared" si="23"/>
        <v>S</v>
      </c>
      <c r="K11" s="10" t="str">
        <f t="shared" si="23"/>
        <v>A</v>
      </c>
      <c r="L11" s="14"/>
      <c r="M11" s="14" t="s">
        <v>62</v>
      </c>
      <c r="N11" s="16" t="s">
        <v>46</v>
      </c>
      <c r="O11" s="10">
        <f t="shared" si="24"/>
        <v>11</v>
      </c>
      <c r="P11" s="10" t="str">
        <f t="shared" si="25"/>
        <v>aareal-bank.com</v>
      </c>
      <c r="Q11" s="10" t="s">
        <v>93</v>
      </c>
      <c r="R11" s="18" t="str">
        <f t="shared" si="26"/>
        <v>sabine.armgart@aareal-bank.com</v>
      </c>
      <c r="S11" s="10" t="str">
        <f t="shared" si="27"/>
        <v>sabinearmgart@aareal-bank.com</v>
      </c>
      <c r="T11" s="10" t="str">
        <f t="shared" si="28"/>
        <v>s.armgart@aareal-bank.com</v>
      </c>
      <c r="U11" s="10" t="str">
        <f t="shared" si="29"/>
        <v>armgart@aareal-bank.com</v>
      </c>
      <c r="V11" s="10" t="str">
        <f t="shared" si="30"/>
        <v>sa@aareal-bank.com</v>
      </c>
      <c r="W11" s="10" t="str">
        <f t="shared" si="31"/>
        <v>sabine@aareal-bank.com</v>
      </c>
      <c r="X11" s="17" t="str">
        <f t="shared" si="32"/>
        <v>Aareal Bank AG</v>
      </c>
      <c r="Y11" s="14"/>
      <c r="Z11" s="14"/>
      <c r="AA11" s="14"/>
      <c r="AB11" s="14"/>
      <c r="AC11" s="14"/>
      <c r="AD11" s="14"/>
      <c r="AE11" s="16"/>
      <c r="AF11" s="14"/>
      <c r="AG11" s="14" t="s">
        <v>51</v>
      </c>
      <c r="AH11" s="14"/>
      <c r="AI11" s="14"/>
      <c r="AJ11" s="14"/>
      <c r="AK11" s="14"/>
      <c r="AL11" s="16" t="s">
        <v>42</v>
      </c>
      <c r="AM11" s="16"/>
    </row>
    <row r="12" spans="1:43" ht="12.75" customHeight="1" x14ac:dyDescent="0.3">
      <c r="A12" s="19" t="s">
        <v>43</v>
      </c>
      <c r="B12" s="20" t="s">
        <v>63</v>
      </c>
      <c r="C12" s="10" t="str">
        <f t="shared" si="17"/>
        <v>Steffi Wenkel</v>
      </c>
      <c r="D12" s="10">
        <f t="shared" si="18"/>
        <v>7</v>
      </c>
      <c r="E12" s="10">
        <f t="shared" si="19"/>
        <v>7</v>
      </c>
      <c r="F12" s="10" t="str">
        <f t="shared" si="20"/>
        <v>Steffi</v>
      </c>
      <c r="G12" s="10" t="str">
        <f t="shared" si="21"/>
        <v>Wenkel</v>
      </c>
      <c r="H12" s="10" t="str">
        <f t="shared" si="22"/>
        <v>Wenkel</v>
      </c>
      <c r="I12" s="21" t="s">
        <v>47</v>
      </c>
      <c r="J12" s="10" t="str">
        <f t="shared" si="23"/>
        <v>S</v>
      </c>
      <c r="K12" s="10" t="str">
        <f t="shared" si="23"/>
        <v>W</v>
      </c>
      <c r="L12" s="16"/>
      <c r="M12" s="20" t="s">
        <v>64</v>
      </c>
      <c r="N12" s="16" t="s">
        <v>46</v>
      </c>
      <c r="O12" s="10">
        <f t="shared" si="24"/>
        <v>11</v>
      </c>
      <c r="P12" s="10" t="str">
        <f t="shared" si="25"/>
        <v>aareal-bank.com</v>
      </c>
      <c r="Q12" s="10" t="s">
        <v>65</v>
      </c>
      <c r="R12" s="10" t="str">
        <f t="shared" si="26"/>
        <v>steffi.wenkel@aareal-bank.com</v>
      </c>
      <c r="S12" s="10" t="str">
        <f t="shared" si="27"/>
        <v>steffiwenkel@aareal-bank.com</v>
      </c>
      <c r="T12" s="10" t="str">
        <f t="shared" si="28"/>
        <v>s.wenkel@aareal-bank.com</v>
      </c>
      <c r="U12" s="10" t="str">
        <f t="shared" si="29"/>
        <v>wenkel@aareal-bank.com</v>
      </c>
      <c r="V12" s="10" t="str">
        <f t="shared" si="30"/>
        <v>sw@aareal-bank.com</v>
      </c>
      <c r="W12" s="10" t="str">
        <f t="shared" si="31"/>
        <v>steffi@aareal-bank.com</v>
      </c>
      <c r="X12" s="17" t="str">
        <f t="shared" si="32"/>
        <v>Aareal Bank AG</v>
      </c>
      <c r="Y12" s="16"/>
      <c r="Z12" s="16"/>
      <c r="AA12" s="16"/>
      <c r="AB12" s="14"/>
      <c r="AC12" s="22"/>
      <c r="AD12" s="22"/>
      <c r="AE12" s="22"/>
      <c r="AF12" s="22"/>
      <c r="AG12" s="22"/>
      <c r="AH12" s="22"/>
      <c r="AI12" s="13"/>
      <c r="AJ12" s="13"/>
      <c r="AK12" s="13"/>
      <c r="AL12" s="16" t="s">
        <v>42</v>
      </c>
      <c r="AM12" s="16"/>
    </row>
    <row r="13" spans="1:43" ht="12.75" customHeight="1" x14ac:dyDescent="0.3">
      <c r="A13" s="9" t="s">
        <v>43</v>
      </c>
      <c r="B13" s="14" t="s">
        <v>66</v>
      </c>
      <c r="C13" s="10" t="str">
        <f t="shared" si="17"/>
        <v>Sven H. Korndoerffer</v>
      </c>
      <c r="D13" s="10">
        <f t="shared" si="18"/>
        <v>5</v>
      </c>
      <c r="E13" s="10">
        <f t="shared" si="19"/>
        <v>5</v>
      </c>
      <c r="F13" s="10" t="str">
        <f t="shared" si="20"/>
        <v>Sven</v>
      </c>
      <c r="G13" s="10" t="str">
        <f t="shared" si="21"/>
        <v>H. Korndoerffer</v>
      </c>
      <c r="H13" s="10" t="str">
        <f t="shared" si="22"/>
        <v>Korndörffer</v>
      </c>
      <c r="I13" s="15" t="s">
        <v>44</v>
      </c>
      <c r="J13" s="10" t="str">
        <f t="shared" si="23"/>
        <v>S</v>
      </c>
      <c r="K13" s="10" t="str">
        <f t="shared" si="23"/>
        <v>H</v>
      </c>
      <c r="L13" s="16"/>
      <c r="M13" s="14" t="s">
        <v>67</v>
      </c>
      <c r="N13" s="16" t="s">
        <v>46</v>
      </c>
      <c r="O13" s="10">
        <f t="shared" si="24"/>
        <v>11</v>
      </c>
      <c r="P13" s="10" t="str">
        <f t="shared" si="25"/>
        <v>aareal-bank.com</v>
      </c>
      <c r="Q13" s="10" t="s">
        <v>94</v>
      </c>
      <c r="R13" s="10" t="str">
        <f t="shared" si="26"/>
        <v>sven.h. korndoerffer@aareal-bank.com</v>
      </c>
      <c r="S13" s="10" t="str">
        <f t="shared" si="27"/>
        <v>svenh. korndoerffer@aareal-bank.com</v>
      </c>
      <c r="T13" s="10" t="str">
        <f t="shared" si="28"/>
        <v>s.h. korndoerffer@aareal-bank.com</v>
      </c>
      <c r="U13" s="10" t="str">
        <f t="shared" si="29"/>
        <v>h. korndoerffer@aareal-bank.com</v>
      </c>
      <c r="V13" s="10" t="str">
        <f t="shared" si="30"/>
        <v>sh@aareal-bank.com</v>
      </c>
      <c r="W13" s="10" t="str">
        <f t="shared" si="31"/>
        <v>sven@aareal-bank.com</v>
      </c>
      <c r="X13" s="17" t="str">
        <f t="shared" si="32"/>
        <v>Aareal Bank AG</v>
      </c>
      <c r="Y13" s="16"/>
      <c r="Z13" s="16"/>
      <c r="AA13" s="16"/>
      <c r="AB13" s="14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42</v>
      </c>
      <c r="AM13" s="16"/>
    </row>
    <row r="14" spans="1:43" ht="12.75" customHeight="1" x14ac:dyDescent="0.3">
      <c r="A14" s="9" t="s">
        <v>43</v>
      </c>
      <c r="B14" s="14" t="s">
        <v>68</v>
      </c>
      <c r="C14" s="10" t="str">
        <f t="shared" si="17"/>
        <v>Thomas Mitzel</v>
      </c>
      <c r="D14" s="10">
        <f t="shared" si="18"/>
        <v>7</v>
      </c>
      <c r="E14" s="10">
        <f t="shared" si="19"/>
        <v>7</v>
      </c>
      <c r="F14" s="10" t="str">
        <f t="shared" si="20"/>
        <v>Thomas</v>
      </c>
      <c r="G14" s="10" t="str">
        <f t="shared" si="21"/>
        <v>Mitzel</v>
      </c>
      <c r="H14" s="10" t="str">
        <f t="shared" si="22"/>
        <v>Mitzel</v>
      </c>
      <c r="I14" s="15" t="s">
        <v>44</v>
      </c>
      <c r="J14" s="10" t="str">
        <f t="shared" si="23"/>
        <v>T</v>
      </c>
      <c r="K14" s="10" t="str">
        <f t="shared" si="23"/>
        <v>M</v>
      </c>
      <c r="L14" s="16"/>
      <c r="M14" s="14" t="s">
        <v>69</v>
      </c>
      <c r="N14" s="16" t="s">
        <v>46</v>
      </c>
      <c r="O14" s="10">
        <f t="shared" si="24"/>
        <v>11</v>
      </c>
      <c r="P14" s="10" t="str">
        <f t="shared" si="25"/>
        <v>aareal-bank.com</v>
      </c>
      <c r="Q14" s="10" t="s">
        <v>70</v>
      </c>
      <c r="R14" s="10" t="str">
        <f t="shared" si="26"/>
        <v>thomas.mitzel@aareal-bank.com</v>
      </c>
      <c r="S14" s="10" t="str">
        <f t="shared" si="27"/>
        <v>thomasmitzel@aareal-bank.com</v>
      </c>
      <c r="T14" s="10" t="str">
        <f t="shared" si="28"/>
        <v>t.mitzel@aareal-bank.com</v>
      </c>
      <c r="U14" s="10" t="str">
        <f t="shared" si="29"/>
        <v>mitzel@aareal-bank.com</v>
      </c>
      <c r="V14" s="10" t="str">
        <f t="shared" si="30"/>
        <v>tm@aareal-bank.com</v>
      </c>
      <c r="W14" s="10" t="str">
        <f t="shared" si="31"/>
        <v>thomas@aareal-bank.com</v>
      </c>
      <c r="X14" s="17" t="str">
        <f t="shared" si="32"/>
        <v>Aareal Bank AG</v>
      </c>
      <c r="Y14" s="16"/>
      <c r="Z14" s="16"/>
      <c r="AA14" s="16"/>
      <c r="AB14" s="14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42</v>
      </c>
      <c r="AM14" s="16"/>
    </row>
    <row r="15" spans="1:43" ht="12.75" customHeight="1" x14ac:dyDescent="0.3">
      <c r="A15" s="12" t="s">
        <v>43</v>
      </c>
      <c r="B15" s="17" t="s">
        <v>153</v>
      </c>
      <c r="C15" s="10" t="str">
        <f t="shared" si="17"/>
        <v>Ulrike M.C.Lohrer</v>
      </c>
      <c r="D15" s="10">
        <f t="shared" si="18"/>
        <v>7</v>
      </c>
      <c r="E15" s="10">
        <f t="shared" si="19"/>
        <v>7</v>
      </c>
      <c r="F15" s="10" t="str">
        <f t="shared" si="20"/>
        <v>Ulrike</v>
      </c>
      <c r="G15" s="10" t="str">
        <f t="shared" si="21"/>
        <v>M.C.Lohrer</v>
      </c>
      <c r="H15" s="10" t="str">
        <f t="shared" si="22"/>
        <v>M.C.Lohrer</v>
      </c>
      <c r="I15" s="23" t="s">
        <v>47</v>
      </c>
      <c r="J15" s="10" t="str">
        <f t="shared" si="23"/>
        <v>U</v>
      </c>
      <c r="K15" s="10" t="str">
        <f t="shared" si="23"/>
        <v>M</v>
      </c>
      <c r="L15" s="24"/>
      <c r="M15" s="17" t="s">
        <v>71</v>
      </c>
      <c r="N15" s="16" t="s">
        <v>46</v>
      </c>
      <c r="O15" s="10">
        <f t="shared" si="24"/>
        <v>11</v>
      </c>
      <c r="P15" s="10" t="str">
        <f t="shared" si="25"/>
        <v>aareal-bank.com</v>
      </c>
      <c r="Q15" s="25" t="s">
        <v>95</v>
      </c>
      <c r="R15" s="10" t="str">
        <f t="shared" si="26"/>
        <v>ulrike.m.c.lohrer@aareal-bank.com</v>
      </c>
      <c r="S15" s="10" t="str">
        <f t="shared" si="27"/>
        <v>ulrikem.c.lohrer@aareal-bank.com</v>
      </c>
      <c r="T15" s="10" t="str">
        <f t="shared" si="28"/>
        <v>u.m.c.lohrer@aareal-bank.com</v>
      </c>
      <c r="U15" s="10" t="str">
        <f t="shared" si="29"/>
        <v>m.c.lohrer@aareal-bank.com</v>
      </c>
      <c r="V15" s="10" t="str">
        <f t="shared" si="30"/>
        <v>um@aareal-bank.com</v>
      </c>
      <c r="W15" s="10" t="str">
        <f t="shared" si="31"/>
        <v>ulrike@aareal-bank.com</v>
      </c>
      <c r="X15" s="17" t="str">
        <f t="shared" si="32"/>
        <v>Aareal Bank AG</v>
      </c>
      <c r="Y15" s="24"/>
      <c r="Z15" s="24"/>
      <c r="AA15" s="24"/>
      <c r="AB15" s="14"/>
      <c r="AC15" s="24"/>
      <c r="AD15" s="24"/>
      <c r="AE15" s="16"/>
      <c r="AF15" s="24"/>
      <c r="AG15" s="24"/>
      <c r="AH15" s="24"/>
      <c r="AI15" s="24"/>
      <c r="AJ15" s="24"/>
      <c r="AK15" s="24"/>
      <c r="AL15" s="16" t="s">
        <v>42</v>
      </c>
      <c r="AM15" s="16"/>
    </row>
    <row r="16" spans="1:43" ht="12.75" customHeight="1" x14ac:dyDescent="0.3">
      <c r="A16" s="12" t="s">
        <v>43</v>
      </c>
      <c r="B16" s="17" t="s">
        <v>154</v>
      </c>
      <c r="C16" s="10" t="str">
        <f t="shared" ref="C16:C29" si="33">SUBSTITUTE(SUBSTITUTE(SUBSTITUTE(SUBSTITUTE(SUBSTITUTE(SUBSTITUTE(SUBSTITUTE(SUBSTITUTE(B16,"ß","ss"),"ä","ae"),"ö","oe"),"ü","ue"),"Ü","Ue"),"Ö","Oe"),"Ä","Ae"),"é","e")</f>
        <v>Max Mustermann</v>
      </c>
      <c r="D16" s="10">
        <f t="shared" ref="D16" si="34">FIND(" ",C16)</f>
        <v>4</v>
      </c>
      <c r="E16" s="10">
        <f t="shared" ref="E16" si="35">FIND(" ",B16)</f>
        <v>4</v>
      </c>
      <c r="F16" s="10" t="str">
        <f t="shared" ref="F16" si="36">MID(C16,1,D16-1)</f>
        <v>Max</v>
      </c>
      <c r="G16" s="10" t="str">
        <f t="shared" ref="G16" si="37">MID(C16,D16+1,20)</f>
        <v>Mustermann</v>
      </c>
      <c r="H16" s="10" t="str">
        <f t="shared" ref="H16" si="38">RIGHT(B16,LEN(B16)-FIND("#",SUBSTITUTE(B16," ","#",LEN(B16)-LEN(SUBSTITUTE(B16," ",)))))</f>
        <v>Mustermann</v>
      </c>
      <c r="I16" s="23" t="s">
        <v>44</v>
      </c>
      <c r="J16" s="10" t="str">
        <f t="shared" ref="J16" si="39">LEFT(F16,1)</f>
        <v>M</v>
      </c>
      <c r="K16" s="10" t="str">
        <f t="shared" ref="K16" si="40">LEFT(G16,1)</f>
        <v>M</v>
      </c>
      <c r="L16" s="24"/>
      <c r="M16" s="17" t="s">
        <v>155</v>
      </c>
      <c r="N16" s="16" t="s">
        <v>46</v>
      </c>
      <c r="O16" s="10">
        <f t="shared" ref="O16" si="41">FIND("@",N16)+1</f>
        <v>11</v>
      </c>
      <c r="P16" s="10" t="str">
        <f t="shared" ref="P16" si="42">MID(N16,O16,30)</f>
        <v>aareal-bank.com</v>
      </c>
      <c r="Q16" s="25" t="s">
        <v>156</v>
      </c>
      <c r="R16" s="10" t="str">
        <f t="shared" ref="R16" si="43">CONCATENATE(LOWER(F16),".",LOWER(G16),"@",P16)</f>
        <v>max.mustermann@aareal-bank.com</v>
      </c>
      <c r="S16" s="10" t="str">
        <f t="shared" ref="S16" si="44">CONCATENATE(LOWER(F16),LOWER(G16),"@",P16)</f>
        <v>maxmustermann@aareal-bank.com</v>
      </c>
      <c r="T16" s="10" t="str">
        <f t="shared" ref="T16" si="45">CONCATENATE(LOWER(J16),".",LOWER(G16),"@",P16)</f>
        <v>m.mustermann@aareal-bank.com</v>
      </c>
      <c r="U16" s="10" t="str">
        <f t="shared" ref="U16" si="46">CONCATENATE(LOWER(G16),"@",P16)</f>
        <v>mustermann@aareal-bank.com</v>
      </c>
      <c r="V16" s="10" t="str">
        <f t="shared" ref="V16" si="47">CONCATENATE(LOWER(J16),LOWER(K16),"@",P16)</f>
        <v>mm@aareal-bank.com</v>
      </c>
      <c r="W16" s="10" t="str">
        <f t="shared" ref="W16" si="48">CONCATENATE(LOWER(F16),"@",P16)</f>
        <v>max@aareal-bank.com</v>
      </c>
      <c r="X16" s="17" t="str">
        <f t="shared" ref="X16" si="49">A16</f>
        <v>Aareal Bank AG</v>
      </c>
      <c r="Y16" s="24"/>
      <c r="Z16" s="24"/>
      <c r="AA16" s="24"/>
      <c r="AB16" s="14"/>
      <c r="AC16" s="24"/>
      <c r="AD16" s="24"/>
      <c r="AE16" s="16"/>
      <c r="AF16" s="24"/>
      <c r="AG16" s="24"/>
      <c r="AH16" s="24"/>
      <c r="AI16" s="24"/>
      <c r="AJ16" s="24"/>
      <c r="AK16" s="24"/>
      <c r="AL16" s="16" t="s">
        <v>42</v>
      </c>
      <c r="AM16" s="16"/>
    </row>
    <row r="17" spans="1:39" ht="12.75" customHeight="1" x14ac:dyDescent="0.3">
      <c r="A17" s="9" t="s">
        <v>43</v>
      </c>
      <c r="B17" s="14"/>
      <c r="C17" s="10" t="str">
        <f t="shared" si="33"/>
        <v/>
      </c>
      <c r="D17" s="10" t="e">
        <f t="shared" si="18"/>
        <v>#VALUE!</v>
      </c>
      <c r="E17" s="10" t="e">
        <f t="shared" si="19"/>
        <v>#VALUE!</v>
      </c>
      <c r="F17" s="10" t="e">
        <f t="shared" si="20"/>
        <v>#VALUE!</v>
      </c>
      <c r="G17" s="10" t="e">
        <f t="shared" si="21"/>
        <v>#VALUE!</v>
      </c>
      <c r="H17" s="10" t="e">
        <f t="shared" si="22"/>
        <v>#VALUE!</v>
      </c>
      <c r="I17" s="15">
        <v>0</v>
      </c>
      <c r="J17" s="10" t="e">
        <f t="shared" si="23"/>
        <v>#VALUE!</v>
      </c>
      <c r="K17" s="10" t="e">
        <f t="shared" si="23"/>
        <v>#VALUE!</v>
      </c>
      <c r="L17" s="14"/>
      <c r="M17" s="14"/>
      <c r="N17" s="16" t="s">
        <v>46</v>
      </c>
      <c r="O17" s="10">
        <f t="shared" si="24"/>
        <v>11</v>
      </c>
      <c r="P17" s="10" t="str">
        <f t="shared" si="25"/>
        <v>aareal-bank.com</v>
      </c>
      <c r="Q17" s="10" t="s">
        <v>74</v>
      </c>
      <c r="R17" s="10" t="e">
        <f t="shared" si="26"/>
        <v>#VALUE!</v>
      </c>
      <c r="S17" s="10" t="e">
        <f t="shared" si="27"/>
        <v>#VALUE!</v>
      </c>
      <c r="T17" s="10" t="e">
        <f t="shared" si="28"/>
        <v>#VALUE!</v>
      </c>
      <c r="U17" s="10" t="e">
        <f t="shared" si="29"/>
        <v>#VALUE!</v>
      </c>
      <c r="V17" s="10" t="e">
        <f t="shared" si="30"/>
        <v>#VALUE!</v>
      </c>
      <c r="W17" s="10" t="e">
        <f t="shared" si="31"/>
        <v>#VALUE!</v>
      </c>
      <c r="X17" s="17" t="str">
        <f t="shared" si="32"/>
        <v>Aareal Bank AG</v>
      </c>
      <c r="Y17" s="14"/>
      <c r="Z17" s="14" t="s">
        <v>49</v>
      </c>
      <c r="AA17" s="14" t="s">
        <v>50</v>
      </c>
      <c r="AB17" s="14"/>
      <c r="AC17" s="14"/>
      <c r="AD17" s="14"/>
      <c r="AE17" s="16"/>
      <c r="AF17" s="14"/>
      <c r="AG17" s="14" t="s">
        <v>57</v>
      </c>
      <c r="AH17" s="14"/>
      <c r="AI17" s="14"/>
      <c r="AJ17" s="14"/>
      <c r="AK17" s="14"/>
      <c r="AL17" s="16" t="s">
        <v>42</v>
      </c>
      <c r="AM17" s="16"/>
    </row>
    <row r="18" spans="1:39" ht="12.75" customHeight="1" x14ac:dyDescent="0.3">
      <c r="A18" s="9" t="s">
        <v>102</v>
      </c>
      <c r="B18" s="14" t="s">
        <v>75</v>
      </c>
      <c r="C18" s="10" t="str">
        <f t="shared" si="33"/>
        <v>Jan Koenigshofen</v>
      </c>
      <c r="D18" s="10">
        <f t="shared" ref="D18" si="50">FIND(" ",C18)</f>
        <v>4</v>
      </c>
      <c r="E18" s="10">
        <f t="shared" ref="E18" si="51">FIND(" ",B18)</f>
        <v>4</v>
      </c>
      <c r="F18" s="10" t="str">
        <f t="shared" ref="F18" si="52">MID(C18,1,D18-1)</f>
        <v>Jan</v>
      </c>
      <c r="G18" s="10" t="str">
        <f t="shared" ref="G18" si="53">MID(C18,D18+1,20)</f>
        <v>Koenigshofen</v>
      </c>
      <c r="H18" s="10" t="str">
        <f t="shared" ref="H18" si="54">RIGHT(B18,LEN(B18)-FIND("#",SUBSTITUTE(B18," ","#",LEN(B18)-LEN(SUBSTITUTE(B18," ",)))))</f>
        <v>Königshofen</v>
      </c>
      <c r="I18" s="26" t="s">
        <v>44</v>
      </c>
      <c r="J18" s="10" t="str">
        <f t="shared" ref="J18" si="55">LEFT(F18,1)</f>
        <v>J</v>
      </c>
      <c r="K18" s="10" t="str">
        <f t="shared" ref="K18" si="56">LEFT(G18,1)</f>
        <v>K</v>
      </c>
      <c r="L18" s="14"/>
      <c r="M18" s="14" t="s">
        <v>103</v>
      </c>
      <c r="N18" s="16" t="s">
        <v>104</v>
      </c>
      <c r="O18" s="10">
        <f t="shared" ref="O18" si="57">FIND("@",N18)+1</f>
        <v>6</v>
      </c>
      <c r="P18" s="10" t="str">
        <f t="shared" ref="P18" si="58">MID(N18,O18,30)</f>
        <v>adac.de</v>
      </c>
      <c r="Q18" s="10" t="s">
        <v>175</v>
      </c>
      <c r="R18" s="10" t="str">
        <f t="shared" ref="R18" si="59">CONCATENATE(LOWER(F18),".",LOWER(G18),"@",P18)</f>
        <v>jan.koenigshofen@adac.de</v>
      </c>
      <c r="S18" s="10" t="str">
        <f t="shared" ref="S18" si="60">CONCATENATE(LOWER(F18),LOWER(G18),"@",P18)</f>
        <v>jankoenigshofen@adac.de</v>
      </c>
      <c r="T18" s="10" t="str">
        <f t="shared" ref="T18" si="61">CONCATENATE(LOWER(J18),".",LOWER(G18),"@",P18)</f>
        <v>j.koenigshofen@adac.de</v>
      </c>
      <c r="U18" s="10" t="str">
        <f t="shared" ref="U18" si="62">CONCATENATE(LOWER(G18),"@",P18)</f>
        <v>koenigshofen@adac.de</v>
      </c>
      <c r="V18" s="10" t="str">
        <f t="shared" ref="V18" si="63">CONCATENATE(LOWER(J18),LOWER(K18),"@",P18)</f>
        <v>jk@adac.de</v>
      </c>
      <c r="W18" s="10" t="str">
        <f t="shared" ref="W18" si="64">CONCATENATE(LOWER(F18),"@",P18)</f>
        <v>jan@adac.de</v>
      </c>
      <c r="X18" s="17" t="str">
        <f t="shared" ref="X18" si="65">A18</f>
        <v>ADAC Finanzdienste GmbH</v>
      </c>
      <c r="Y18" s="14"/>
      <c r="Z18" s="14" t="s">
        <v>105</v>
      </c>
      <c r="AA18" s="14" t="s">
        <v>106</v>
      </c>
      <c r="AB18" s="14"/>
      <c r="AC18" s="14"/>
      <c r="AD18" s="14"/>
      <c r="AE18" s="16"/>
      <c r="AF18" s="14"/>
      <c r="AG18" s="14"/>
      <c r="AH18" s="14"/>
      <c r="AI18" s="14"/>
      <c r="AJ18" s="14"/>
      <c r="AK18" s="14"/>
      <c r="AL18" s="16" t="s">
        <v>42</v>
      </c>
      <c r="AM18" s="16"/>
    </row>
    <row r="19" spans="1:39" ht="12.75" customHeight="1" x14ac:dyDescent="0.3">
      <c r="A19" s="9" t="s">
        <v>102</v>
      </c>
      <c r="B19" s="14" t="s">
        <v>76</v>
      </c>
      <c r="C19" s="10" t="str">
        <f t="shared" si="33"/>
        <v>Stephanie Windeck</v>
      </c>
      <c r="D19" s="10">
        <f t="shared" si="18"/>
        <v>10</v>
      </c>
      <c r="E19" s="10">
        <f t="shared" si="19"/>
        <v>10</v>
      </c>
      <c r="F19" s="10" t="str">
        <f t="shared" si="20"/>
        <v>Stephanie</v>
      </c>
      <c r="G19" s="10" t="str">
        <f t="shared" si="21"/>
        <v>Windeck</v>
      </c>
      <c r="H19" s="10" t="str">
        <f t="shared" si="22"/>
        <v>Windeck</v>
      </c>
      <c r="I19" s="26" t="s">
        <v>44</v>
      </c>
      <c r="J19" s="10" t="str">
        <f t="shared" si="23"/>
        <v>S</v>
      </c>
      <c r="K19" s="10" t="str">
        <f t="shared" si="23"/>
        <v>W</v>
      </c>
      <c r="L19" s="14"/>
      <c r="M19" s="17" t="s">
        <v>155</v>
      </c>
      <c r="N19" s="16" t="s">
        <v>104</v>
      </c>
      <c r="O19" s="10">
        <f t="shared" si="24"/>
        <v>6</v>
      </c>
      <c r="P19" s="10" t="str">
        <f t="shared" si="25"/>
        <v>adac.de</v>
      </c>
      <c r="Q19" s="10" t="s">
        <v>159</v>
      </c>
      <c r="R19" s="10" t="str">
        <f t="shared" si="26"/>
        <v>stephanie.windeck@adac.de</v>
      </c>
      <c r="S19" s="10" t="str">
        <f t="shared" si="27"/>
        <v>stephaniewindeck@adac.de</v>
      </c>
      <c r="T19" s="10" t="str">
        <f t="shared" si="28"/>
        <v>s.windeck@adac.de</v>
      </c>
      <c r="U19" s="10" t="str">
        <f t="shared" si="29"/>
        <v>windeck@adac.de</v>
      </c>
      <c r="V19" s="10" t="str">
        <f t="shared" si="30"/>
        <v>sw@adac.de</v>
      </c>
      <c r="W19" s="10" t="str">
        <f t="shared" si="31"/>
        <v>stephanie@adac.de</v>
      </c>
      <c r="X19" s="17" t="str">
        <f t="shared" si="32"/>
        <v>ADAC Finanzdienste GmbH</v>
      </c>
      <c r="Y19" s="14"/>
      <c r="Z19" s="14" t="s">
        <v>105</v>
      </c>
      <c r="AA19" s="14" t="s">
        <v>106</v>
      </c>
      <c r="AB19" s="14"/>
      <c r="AC19" s="14"/>
      <c r="AD19" s="14"/>
      <c r="AE19" s="16"/>
      <c r="AF19" s="14"/>
      <c r="AG19" s="14"/>
      <c r="AH19" s="14"/>
      <c r="AI19" s="14"/>
      <c r="AJ19" s="14"/>
      <c r="AK19" s="14"/>
      <c r="AL19" s="16" t="s">
        <v>42</v>
      </c>
      <c r="AM19" s="16"/>
    </row>
    <row r="20" spans="1:39" ht="12.75" customHeight="1" x14ac:dyDescent="0.3">
      <c r="A20" s="9" t="s">
        <v>102</v>
      </c>
      <c r="B20" s="20" t="s">
        <v>77</v>
      </c>
      <c r="C20" s="10" t="str">
        <f t="shared" si="33"/>
        <v>Andrea Reinartz</v>
      </c>
      <c r="D20" s="10">
        <f t="shared" si="18"/>
        <v>7</v>
      </c>
      <c r="E20" s="10">
        <f t="shared" si="19"/>
        <v>7</v>
      </c>
      <c r="F20" s="10" t="str">
        <f t="shared" si="20"/>
        <v>Andrea</v>
      </c>
      <c r="G20" s="10" t="str">
        <f t="shared" si="21"/>
        <v>Reinartz</v>
      </c>
      <c r="H20" s="10" t="str">
        <f t="shared" si="22"/>
        <v>Reinartz</v>
      </c>
      <c r="I20" s="15" t="s">
        <v>44</v>
      </c>
      <c r="J20" s="10" t="str">
        <f t="shared" si="23"/>
        <v>A</v>
      </c>
      <c r="K20" s="10" t="str">
        <f t="shared" si="23"/>
        <v>R</v>
      </c>
      <c r="L20" s="14"/>
      <c r="M20" s="14" t="s">
        <v>107</v>
      </c>
      <c r="N20" s="16" t="s">
        <v>104</v>
      </c>
      <c r="O20" s="10">
        <f t="shared" si="24"/>
        <v>6</v>
      </c>
      <c r="P20" s="10" t="str">
        <f t="shared" si="25"/>
        <v>adac.de</v>
      </c>
      <c r="Q20" s="10" t="s">
        <v>176</v>
      </c>
      <c r="R20" s="10" t="str">
        <f t="shared" si="26"/>
        <v>andrea.reinartz@adac.de</v>
      </c>
      <c r="S20" s="10" t="str">
        <f t="shared" si="27"/>
        <v>andreareinartz@adac.de</v>
      </c>
      <c r="T20" s="10" t="str">
        <f t="shared" si="28"/>
        <v>a.reinartz@adac.de</v>
      </c>
      <c r="U20" s="10" t="str">
        <f t="shared" si="29"/>
        <v>reinartz@adac.de</v>
      </c>
      <c r="V20" s="10" t="str">
        <f t="shared" si="30"/>
        <v>ar@adac.de</v>
      </c>
      <c r="W20" s="10" t="str">
        <f t="shared" si="31"/>
        <v>andrea@adac.de</v>
      </c>
      <c r="X20" s="17" t="str">
        <f t="shared" si="32"/>
        <v>ADAC Finanzdienste GmbH</v>
      </c>
      <c r="Y20" s="14"/>
      <c r="Z20" s="14" t="s">
        <v>108</v>
      </c>
      <c r="AA20" s="14" t="s">
        <v>109</v>
      </c>
      <c r="AB20" s="14"/>
      <c r="AC20" s="14"/>
      <c r="AD20" s="14"/>
      <c r="AE20" s="16"/>
      <c r="AF20" s="14"/>
      <c r="AG20" s="14"/>
      <c r="AH20" s="14" t="s">
        <v>126</v>
      </c>
      <c r="AI20" s="14" t="s">
        <v>123</v>
      </c>
      <c r="AJ20" s="14"/>
      <c r="AK20" s="14"/>
      <c r="AL20" s="16" t="s">
        <v>42</v>
      </c>
      <c r="AM20" s="16"/>
    </row>
    <row r="21" spans="1:39" ht="12.75" customHeight="1" x14ac:dyDescent="0.3">
      <c r="A21" s="9" t="s">
        <v>102</v>
      </c>
      <c r="B21" s="14" t="s">
        <v>78</v>
      </c>
      <c r="C21" s="10" t="str">
        <f t="shared" si="33"/>
        <v>Dirk Bittmann</v>
      </c>
      <c r="D21" s="10">
        <f t="shared" si="18"/>
        <v>5</v>
      </c>
      <c r="E21" s="10">
        <f t="shared" si="19"/>
        <v>5</v>
      </c>
      <c r="F21" s="10" t="str">
        <f t="shared" si="20"/>
        <v>Dirk</v>
      </c>
      <c r="G21" s="10" t="str">
        <f t="shared" si="21"/>
        <v>Bittmann</v>
      </c>
      <c r="H21" s="10" t="str">
        <f t="shared" si="22"/>
        <v>Bittmann</v>
      </c>
      <c r="I21" s="15" t="s">
        <v>44</v>
      </c>
      <c r="J21" s="10" t="str">
        <f t="shared" ref="J21:K37" si="66">LEFT(F21,1)</f>
        <v>D</v>
      </c>
      <c r="K21" s="10" t="str">
        <f t="shared" si="66"/>
        <v>B</v>
      </c>
      <c r="L21" s="14"/>
      <c r="M21" s="14" t="s">
        <v>110</v>
      </c>
      <c r="N21" s="16" t="s">
        <v>104</v>
      </c>
      <c r="O21" s="10">
        <f t="shared" si="24"/>
        <v>6</v>
      </c>
      <c r="P21" s="10" t="str">
        <f t="shared" si="25"/>
        <v>adac.de</v>
      </c>
      <c r="Q21" s="10" t="s">
        <v>177</v>
      </c>
      <c r="R21" s="10" t="str">
        <f t="shared" si="26"/>
        <v>dirk.bittmann@adac.de</v>
      </c>
      <c r="S21" s="10" t="str">
        <f t="shared" si="27"/>
        <v>dirkbittmann@adac.de</v>
      </c>
      <c r="T21" s="10" t="str">
        <f t="shared" si="28"/>
        <v>d.bittmann@adac.de</v>
      </c>
      <c r="U21" s="10" t="str">
        <f t="shared" si="29"/>
        <v>bittmann@adac.de</v>
      </c>
      <c r="V21" s="10" t="str">
        <f t="shared" si="30"/>
        <v>db@adac.de</v>
      </c>
      <c r="W21" s="10" t="str">
        <f t="shared" si="31"/>
        <v>dirk@adac.de</v>
      </c>
      <c r="X21" s="17" t="str">
        <f t="shared" si="32"/>
        <v>ADAC Finanzdienste GmbH</v>
      </c>
      <c r="Y21" s="14"/>
      <c r="Z21" s="14"/>
      <c r="AA21" s="14"/>
      <c r="AB21" s="14"/>
      <c r="AC21" s="14"/>
      <c r="AD21" s="14"/>
      <c r="AE21" s="16"/>
      <c r="AF21" s="14"/>
      <c r="AG21" s="14"/>
      <c r="AH21" s="14" t="s">
        <v>127</v>
      </c>
      <c r="AI21" s="14" t="s">
        <v>124</v>
      </c>
      <c r="AJ21" s="14"/>
      <c r="AK21" s="14"/>
      <c r="AL21" s="16" t="s">
        <v>42</v>
      </c>
      <c r="AM21" s="16"/>
    </row>
    <row r="22" spans="1:39" ht="12.75" customHeight="1" x14ac:dyDescent="0.3">
      <c r="A22" s="9" t="s">
        <v>102</v>
      </c>
      <c r="B22" s="20" t="s">
        <v>79</v>
      </c>
      <c r="C22" s="10" t="str">
        <f t="shared" si="33"/>
        <v>Dirk Ferwer</v>
      </c>
      <c r="D22" s="10">
        <f t="shared" si="18"/>
        <v>5</v>
      </c>
      <c r="E22" s="10">
        <f t="shared" si="19"/>
        <v>5</v>
      </c>
      <c r="F22" s="10" t="str">
        <f t="shared" si="20"/>
        <v>Dirk</v>
      </c>
      <c r="G22" s="10" t="str">
        <f t="shared" si="21"/>
        <v>Ferwer</v>
      </c>
      <c r="H22" s="10" t="str">
        <f t="shared" si="22"/>
        <v>Ferwer</v>
      </c>
      <c r="I22" s="15" t="s">
        <v>47</v>
      </c>
      <c r="J22" s="10" t="str">
        <f t="shared" si="66"/>
        <v>D</v>
      </c>
      <c r="K22" s="10" t="str">
        <f t="shared" si="66"/>
        <v>F</v>
      </c>
      <c r="L22" s="14"/>
      <c r="M22" s="14" t="s">
        <v>111</v>
      </c>
      <c r="N22" s="16" t="s">
        <v>104</v>
      </c>
      <c r="O22" s="10">
        <f t="shared" si="24"/>
        <v>6</v>
      </c>
      <c r="P22" s="10" t="str">
        <f t="shared" si="25"/>
        <v>adac.de</v>
      </c>
      <c r="Q22" s="10" t="s">
        <v>178</v>
      </c>
      <c r="R22" s="10" t="str">
        <f t="shared" si="26"/>
        <v>dirk.ferwer@adac.de</v>
      </c>
      <c r="S22" s="10" t="str">
        <f t="shared" si="27"/>
        <v>dirkferwer@adac.de</v>
      </c>
      <c r="T22" s="10" t="str">
        <f t="shared" si="28"/>
        <v>d.ferwer@adac.de</v>
      </c>
      <c r="U22" s="10" t="str">
        <f t="shared" si="29"/>
        <v>ferwer@adac.de</v>
      </c>
      <c r="V22" s="10" t="str">
        <f t="shared" si="30"/>
        <v>df@adac.de</v>
      </c>
      <c r="W22" s="10" t="str">
        <f t="shared" si="31"/>
        <v>dirk@adac.de</v>
      </c>
      <c r="X22" s="17" t="str">
        <f t="shared" si="32"/>
        <v>ADAC Finanzdienste GmbH</v>
      </c>
      <c r="Y22" s="14"/>
      <c r="Z22" s="14" t="s">
        <v>105</v>
      </c>
      <c r="AA22" s="14" t="s">
        <v>106</v>
      </c>
      <c r="AB22" s="14"/>
      <c r="AC22" s="14"/>
      <c r="AD22" s="14"/>
      <c r="AE22" s="16"/>
      <c r="AF22" s="14"/>
      <c r="AG22" s="14"/>
      <c r="AH22" s="14" t="s">
        <v>112</v>
      </c>
      <c r="AI22" s="14" t="s">
        <v>113</v>
      </c>
      <c r="AJ22" s="14"/>
      <c r="AK22" s="14"/>
      <c r="AL22" s="16" t="s">
        <v>42</v>
      </c>
      <c r="AM22" s="16"/>
    </row>
    <row r="23" spans="1:39" ht="12.75" customHeight="1" x14ac:dyDescent="0.3">
      <c r="A23" s="19" t="s">
        <v>102</v>
      </c>
      <c r="B23" s="20" t="s">
        <v>80</v>
      </c>
      <c r="C23" s="10" t="str">
        <f t="shared" si="33"/>
        <v>Hassan Madani</v>
      </c>
      <c r="D23" s="10">
        <f t="shared" si="18"/>
        <v>7</v>
      </c>
      <c r="E23" s="10">
        <f t="shared" si="19"/>
        <v>7</v>
      </c>
      <c r="F23" s="10" t="str">
        <f t="shared" si="20"/>
        <v>Hassan</v>
      </c>
      <c r="G23" s="10" t="str">
        <f t="shared" si="21"/>
        <v>Madani</v>
      </c>
      <c r="H23" s="10" t="str">
        <f t="shared" si="22"/>
        <v>Madani</v>
      </c>
      <c r="I23" s="21" t="s">
        <v>44</v>
      </c>
      <c r="J23" s="10" t="str">
        <f t="shared" si="66"/>
        <v>H</v>
      </c>
      <c r="K23" s="10" t="str">
        <f t="shared" si="66"/>
        <v>M</v>
      </c>
      <c r="L23" s="20"/>
      <c r="M23" s="20" t="s">
        <v>114</v>
      </c>
      <c r="N23" s="16" t="s">
        <v>104</v>
      </c>
      <c r="O23" s="10">
        <f t="shared" si="24"/>
        <v>6</v>
      </c>
      <c r="P23" s="10" t="str">
        <f t="shared" si="25"/>
        <v>adac.de</v>
      </c>
      <c r="Q23" s="10" t="s">
        <v>179</v>
      </c>
      <c r="R23" s="10" t="str">
        <f t="shared" si="26"/>
        <v>hassan.madani@adac.de</v>
      </c>
      <c r="S23" s="10" t="str">
        <f t="shared" si="27"/>
        <v>hassanmadani@adac.de</v>
      </c>
      <c r="T23" s="10" t="str">
        <f t="shared" si="28"/>
        <v>h.madani@adac.de</v>
      </c>
      <c r="U23" s="10" t="str">
        <f t="shared" si="29"/>
        <v>madani@adac.de</v>
      </c>
      <c r="V23" s="10" t="str">
        <f t="shared" si="30"/>
        <v>hm@adac.de</v>
      </c>
      <c r="W23" s="10" t="str">
        <f t="shared" si="31"/>
        <v>hassan@adac.de</v>
      </c>
      <c r="X23" s="17" t="str">
        <f t="shared" si="32"/>
        <v>ADAC Finanzdienste GmbH</v>
      </c>
      <c r="Y23" s="20"/>
      <c r="Z23" s="20"/>
      <c r="AA23" s="20"/>
      <c r="AB23" s="22"/>
      <c r="AC23" s="22"/>
      <c r="AD23" s="22"/>
      <c r="AE23" s="22"/>
      <c r="AF23" s="22"/>
      <c r="AG23" s="14"/>
      <c r="AH23" s="22"/>
      <c r="AI23" s="13" t="s">
        <v>54</v>
      </c>
      <c r="AJ23" s="13"/>
      <c r="AK23" s="13"/>
      <c r="AL23" s="16" t="s">
        <v>42</v>
      </c>
      <c r="AM23" s="16"/>
    </row>
    <row r="24" spans="1:39" ht="12.75" customHeight="1" x14ac:dyDescent="0.3">
      <c r="A24" s="9" t="s">
        <v>102</v>
      </c>
      <c r="B24" s="20" t="s">
        <v>81</v>
      </c>
      <c r="C24" s="10" t="str">
        <f t="shared" si="33"/>
        <v>Laura Vetten</v>
      </c>
      <c r="D24" s="10">
        <f t="shared" si="18"/>
        <v>6</v>
      </c>
      <c r="E24" s="10">
        <f t="shared" si="19"/>
        <v>6</v>
      </c>
      <c r="F24" s="10" t="str">
        <f t="shared" si="20"/>
        <v>Laura</v>
      </c>
      <c r="G24" s="10" t="str">
        <f t="shared" si="21"/>
        <v>Vetten</v>
      </c>
      <c r="H24" s="10" t="str">
        <f t="shared" si="22"/>
        <v>Vetten</v>
      </c>
      <c r="I24" s="15" t="s">
        <v>47</v>
      </c>
      <c r="J24" s="10" t="str">
        <f t="shared" si="66"/>
        <v>L</v>
      </c>
      <c r="K24" s="10" t="str">
        <f t="shared" si="66"/>
        <v>V</v>
      </c>
      <c r="L24" s="14"/>
      <c r="M24" s="14" t="s">
        <v>115</v>
      </c>
      <c r="N24" s="16" t="s">
        <v>104</v>
      </c>
      <c r="O24" s="10">
        <f t="shared" si="24"/>
        <v>6</v>
      </c>
      <c r="P24" s="10" t="str">
        <f t="shared" si="25"/>
        <v>adac.de</v>
      </c>
      <c r="Q24" s="10" t="s">
        <v>180</v>
      </c>
      <c r="R24" s="10" t="str">
        <f t="shared" si="26"/>
        <v>laura.vetten@adac.de</v>
      </c>
      <c r="S24" s="10" t="str">
        <f t="shared" si="27"/>
        <v>lauravetten@adac.de</v>
      </c>
      <c r="T24" s="10" t="str">
        <f t="shared" si="28"/>
        <v>l.vetten@adac.de</v>
      </c>
      <c r="U24" s="10" t="str">
        <f t="shared" si="29"/>
        <v>vetten@adac.de</v>
      </c>
      <c r="V24" s="10" t="str">
        <f t="shared" si="30"/>
        <v>lv@adac.de</v>
      </c>
      <c r="W24" s="10" t="str">
        <f t="shared" si="31"/>
        <v>laura@adac.de</v>
      </c>
      <c r="X24" s="17" t="str">
        <f t="shared" si="32"/>
        <v>ADAC Finanzdienste GmbH</v>
      </c>
      <c r="Y24" s="14"/>
      <c r="Z24" s="14" t="s">
        <v>105</v>
      </c>
      <c r="AA24" s="14" t="s">
        <v>106</v>
      </c>
      <c r="AB24" s="14"/>
      <c r="AC24" s="14"/>
      <c r="AD24" s="14"/>
      <c r="AE24" s="16"/>
      <c r="AF24" s="14"/>
      <c r="AG24" s="14"/>
      <c r="AH24" s="14"/>
      <c r="AI24" s="14"/>
      <c r="AJ24" s="14"/>
      <c r="AK24" s="14"/>
      <c r="AL24" s="16" t="s">
        <v>42</v>
      </c>
      <c r="AM24" s="16"/>
    </row>
    <row r="25" spans="1:39" ht="12.75" customHeight="1" x14ac:dyDescent="0.3">
      <c r="A25" s="19" t="s">
        <v>102</v>
      </c>
      <c r="B25" s="20" t="s">
        <v>82</v>
      </c>
      <c r="C25" s="10" t="str">
        <f t="shared" si="33"/>
        <v>Michael von Roepenack</v>
      </c>
      <c r="D25" s="10">
        <f t="shared" si="18"/>
        <v>8</v>
      </c>
      <c r="E25" s="10">
        <f t="shared" si="19"/>
        <v>8</v>
      </c>
      <c r="F25" s="10" t="str">
        <f t="shared" si="20"/>
        <v>Michael</v>
      </c>
      <c r="G25" s="10" t="str">
        <f t="shared" si="21"/>
        <v>von Roepenack</v>
      </c>
      <c r="H25" s="10" t="str">
        <f t="shared" si="22"/>
        <v>Röpenack</v>
      </c>
      <c r="I25" s="21" t="s">
        <v>47</v>
      </c>
      <c r="J25" s="10" t="str">
        <f t="shared" si="66"/>
        <v>M</v>
      </c>
      <c r="K25" s="10" t="str">
        <f t="shared" si="66"/>
        <v>v</v>
      </c>
      <c r="L25" s="20"/>
      <c r="M25" s="20" t="s">
        <v>116</v>
      </c>
      <c r="N25" s="16" t="s">
        <v>104</v>
      </c>
      <c r="O25" s="10">
        <f t="shared" si="24"/>
        <v>6</v>
      </c>
      <c r="P25" s="10" t="str">
        <f t="shared" si="25"/>
        <v>adac.de</v>
      </c>
      <c r="Q25" s="10" t="s">
        <v>181</v>
      </c>
      <c r="R25" s="10" t="str">
        <f t="shared" si="26"/>
        <v>michael.von roepenack@adac.de</v>
      </c>
      <c r="S25" s="10" t="str">
        <f t="shared" si="27"/>
        <v>michaelvon roepenack@adac.de</v>
      </c>
      <c r="T25" s="10" t="str">
        <f t="shared" si="28"/>
        <v>m.von roepenack@adac.de</v>
      </c>
      <c r="U25" s="10" t="str">
        <f t="shared" si="29"/>
        <v>von roepenack@adac.de</v>
      </c>
      <c r="V25" s="10" t="str">
        <f t="shared" si="30"/>
        <v>mv@adac.de</v>
      </c>
      <c r="W25" s="10" t="str">
        <f t="shared" si="31"/>
        <v>michael@adac.de</v>
      </c>
      <c r="X25" s="17" t="str">
        <f t="shared" si="32"/>
        <v>ADAC Finanzdienste GmbH</v>
      </c>
      <c r="Y25" s="20"/>
      <c r="Z25" s="20"/>
      <c r="AA25" s="20"/>
      <c r="AB25" s="22"/>
      <c r="AC25" s="22"/>
      <c r="AD25" s="22"/>
      <c r="AE25" s="22"/>
      <c r="AF25" s="22"/>
      <c r="AG25" s="14"/>
      <c r="AH25" s="22"/>
      <c r="AI25" s="13"/>
      <c r="AJ25" s="13"/>
      <c r="AK25" s="13"/>
      <c r="AL25" s="16" t="s">
        <v>42</v>
      </c>
      <c r="AM25" s="16"/>
    </row>
    <row r="26" spans="1:39" ht="12.75" customHeight="1" x14ac:dyDescent="0.3">
      <c r="A26" s="19" t="s">
        <v>102</v>
      </c>
      <c r="B26" s="14" t="s">
        <v>83</v>
      </c>
      <c r="C26" s="10" t="str">
        <f t="shared" si="33"/>
        <v>Sabine Armgart</v>
      </c>
      <c r="D26" s="10">
        <f t="shared" si="18"/>
        <v>7</v>
      </c>
      <c r="E26" s="10">
        <f t="shared" si="19"/>
        <v>7</v>
      </c>
      <c r="F26" s="10" t="str">
        <f t="shared" si="20"/>
        <v>Sabine</v>
      </c>
      <c r="G26" s="10" t="str">
        <f t="shared" si="21"/>
        <v>Armgart</v>
      </c>
      <c r="H26" s="10" t="str">
        <f t="shared" si="22"/>
        <v>Armgart</v>
      </c>
      <c r="I26" s="21" t="s">
        <v>44</v>
      </c>
      <c r="J26" s="10" t="str">
        <f t="shared" si="66"/>
        <v>S</v>
      </c>
      <c r="K26" s="10" t="str">
        <f t="shared" si="66"/>
        <v>A</v>
      </c>
      <c r="L26" s="20"/>
      <c r="M26" s="20" t="s">
        <v>117</v>
      </c>
      <c r="N26" s="16" t="s">
        <v>104</v>
      </c>
      <c r="O26" s="10">
        <f t="shared" si="24"/>
        <v>6</v>
      </c>
      <c r="P26" s="10" t="str">
        <f t="shared" si="25"/>
        <v>adac.de</v>
      </c>
      <c r="Q26" s="10" t="s">
        <v>182</v>
      </c>
      <c r="R26" s="10" t="str">
        <f t="shared" si="26"/>
        <v>sabine.armgart@adac.de</v>
      </c>
      <c r="S26" s="10" t="str">
        <f t="shared" si="27"/>
        <v>sabinearmgart@adac.de</v>
      </c>
      <c r="T26" s="10" t="str">
        <f t="shared" si="28"/>
        <v>s.armgart@adac.de</v>
      </c>
      <c r="U26" s="10" t="str">
        <f t="shared" si="29"/>
        <v>armgart@adac.de</v>
      </c>
      <c r="V26" s="10" t="str">
        <f t="shared" si="30"/>
        <v>sa@adac.de</v>
      </c>
      <c r="W26" s="10" t="str">
        <f t="shared" si="31"/>
        <v>sabine@adac.de</v>
      </c>
      <c r="X26" s="17" t="str">
        <f t="shared" si="32"/>
        <v>ADAC Finanzdienste GmbH</v>
      </c>
      <c r="Y26" s="20"/>
      <c r="Z26" s="20"/>
      <c r="AA26" s="20"/>
      <c r="AB26" s="22"/>
      <c r="AC26" s="22"/>
      <c r="AD26" s="22"/>
      <c r="AE26" s="22"/>
      <c r="AF26" s="22"/>
      <c r="AG26" s="14"/>
      <c r="AH26" s="22"/>
      <c r="AI26" s="13"/>
      <c r="AJ26" s="13"/>
      <c r="AK26" s="13"/>
      <c r="AL26" s="16" t="s">
        <v>42</v>
      </c>
      <c r="AM26" s="16"/>
    </row>
    <row r="27" spans="1:39" ht="12.75" customHeight="1" x14ac:dyDescent="0.3">
      <c r="A27" s="12" t="s">
        <v>102</v>
      </c>
      <c r="B27" s="20" t="s">
        <v>174</v>
      </c>
      <c r="C27" s="10" t="str">
        <f t="shared" si="33"/>
        <v>Mona Muster</v>
      </c>
      <c r="D27" s="10">
        <f t="shared" si="18"/>
        <v>5</v>
      </c>
      <c r="E27" s="10">
        <f t="shared" si="19"/>
        <v>5</v>
      </c>
      <c r="F27" s="10" t="str">
        <f t="shared" si="20"/>
        <v>Mona</v>
      </c>
      <c r="G27" s="10" t="str">
        <f t="shared" si="21"/>
        <v>Muster</v>
      </c>
      <c r="H27" s="10" t="str">
        <f t="shared" si="22"/>
        <v>Muster</v>
      </c>
      <c r="I27" s="15" t="s">
        <v>47</v>
      </c>
      <c r="J27" s="10" t="str">
        <f t="shared" si="66"/>
        <v>M</v>
      </c>
      <c r="K27" s="10" t="str">
        <f t="shared" si="66"/>
        <v>M</v>
      </c>
      <c r="L27" s="14" t="s">
        <v>84</v>
      </c>
      <c r="M27" s="17" t="s">
        <v>155</v>
      </c>
      <c r="N27" s="16" t="s">
        <v>104</v>
      </c>
      <c r="O27" s="10">
        <f t="shared" si="24"/>
        <v>6</v>
      </c>
      <c r="P27" s="10" t="str">
        <f t="shared" si="25"/>
        <v>adac.de</v>
      </c>
      <c r="Q27" s="10" t="s">
        <v>183</v>
      </c>
      <c r="R27" s="10" t="str">
        <f t="shared" si="26"/>
        <v>mona.muster@adac.de</v>
      </c>
      <c r="S27" s="10" t="str">
        <f t="shared" si="27"/>
        <v>monamuster@adac.de</v>
      </c>
      <c r="T27" s="10" t="str">
        <f t="shared" si="28"/>
        <v>m.muster@adac.de</v>
      </c>
      <c r="U27" s="10" t="str">
        <f t="shared" si="29"/>
        <v>muster@adac.de</v>
      </c>
      <c r="V27" s="10" t="str">
        <f t="shared" si="30"/>
        <v>mm@adac.de</v>
      </c>
      <c r="W27" s="10" t="str">
        <f t="shared" si="31"/>
        <v>mona@adac.de</v>
      </c>
      <c r="X27" s="17" t="str">
        <f t="shared" si="32"/>
        <v>ADAC Finanzdienste GmbH</v>
      </c>
      <c r="Y27" s="14"/>
      <c r="Z27" s="14" t="s">
        <v>108</v>
      </c>
      <c r="AA27" s="14" t="s">
        <v>109</v>
      </c>
      <c r="AB27" s="14"/>
      <c r="AC27" s="14"/>
      <c r="AD27" s="14"/>
      <c r="AE27" s="16"/>
      <c r="AF27" s="14"/>
      <c r="AG27" s="14"/>
      <c r="AH27" s="14"/>
      <c r="AI27" s="14" t="s">
        <v>125</v>
      </c>
      <c r="AJ27" s="14"/>
      <c r="AK27" s="14"/>
      <c r="AL27" s="16" t="s">
        <v>42</v>
      </c>
      <c r="AM27" s="16"/>
    </row>
    <row r="28" spans="1:39" ht="12.75" customHeight="1" x14ac:dyDescent="0.3">
      <c r="A28" s="12" t="s">
        <v>102</v>
      </c>
      <c r="B28" s="20" t="s">
        <v>157</v>
      </c>
      <c r="C28" s="10" t="str">
        <f t="shared" si="33"/>
        <v>Mona Musterfrau</v>
      </c>
      <c r="D28" s="10">
        <f t="shared" ref="D28" si="67">FIND(" ",C28)</f>
        <v>5</v>
      </c>
      <c r="E28" s="10">
        <f t="shared" ref="E28" si="68">FIND(" ",B28)</f>
        <v>5</v>
      </c>
      <c r="F28" s="10" t="str">
        <f t="shared" ref="F28" si="69">MID(C28,1,D28-1)</f>
        <v>Mona</v>
      </c>
      <c r="G28" s="10" t="str">
        <f t="shared" ref="G28" si="70">MID(C28,D28+1,20)</f>
        <v>Musterfrau</v>
      </c>
      <c r="H28" s="10" t="str">
        <f t="shared" ref="H28" si="71">RIGHT(B28,LEN(B28)-FIND("#",SUBSTITUTE(B28," ","#",LEN(B28)-LEN(SUBSTITUTE(B28," ",)))))</f>
        <v>Musterfrau</v>
      </c>
      <c r="I28" s="15" t="s">
        <v>47</v>
      </c>
      <c r="J28" s="10" t="str">
        <f t="shared" ref="J28" si="72">LEFT(F28,1)</f>
        <v>M</v>
      </c>
      <c r="K28" s="10" t="str">
        <f t="shared" ref="K28" si="73">LEFT(G28,1)</f>
        <v>M</v>
      </c>
      <c r="L28" s="14" t="s">
        <v>84</v>
      </c>
      <c r="M28" s="14" t="s">
        <v>118</v>
      </c>
      <c r="N28" s="16" t="s">
        <v>104</v>
      </c>
      <c r="O28" s="10">
        <f t="shared" ref="O28" si="74">FIND("@",N28)+1</f>
        <v>6</v>
      </c>
      <c r="P28" s="10" t="str">
        <f t="shared" ref="P28" si="75">MID(N28,O28,30)</f>
        <v>adac.de</v>
      </c>
      <c r="Q28" s="10" t="s">
        <v>184</v>
      </c>
      <c r="R28" s="10" t="str">
        <f t="shared" ref="R28" si="76">CONCATENATE(LOWER(F28),".",LOWER(G28),"@",P28)</f>
        <v>mona.musterfrau@adac.de</v>
      </c>
      <c r="S28" s="10" t="str">
        <f t="shared" ref="S28" si="77">CONCATENATE(LOWER(F28),LOWER(G28),"@",P28)</f>
        <v>monamusterfrau@adac.de</v>
      </c>
      <c r="T28" s="10" t="str">
        <f t="shared" ref="T28" si="78">CONCATENATE(LOWER(J28),".",LOWER(G28),"@",P28)</f>
        <v>m.musterfrau@adac.de</v>
      </c>
      <c r="U28" s="10" t="str">
        <f t="shared" ref="U28" si="79">CONCATENATE(LOWER(G28),"@",P28)</f>
        <v>musterfrau@adac.de</v>
      </c>
      <c r="V28" s="10" t="str">
        <f t="shared" ref="V28" si="80">CONCATENATE(LOWER(J28),LOWER(K28),"@",P28)</f>
        <v>mm@adac.de</v>
      </c>
      <c r="W28" s="10" t="str">
        <f t="shared" ref="W28" si="81">CONCATENATE(LOWER(F28),"@",P28)</f>
        <v>mona@adac.de</v>
      </c>
      <c r="X28" s="17" t="str">
        <f t="shared" ref="X28" si="82">A28</f>
        <v>ADAC Finanzdienste GmbH</v>
      </c>
      <c r="Y28" s="14"/>
      <c r="Z28" s="14" t="s">
        <v>108</v>
      </c>
      <c r="AA28" s="14" t="s">
        <v>109</v>
      </c>
      <c r="AB28" s="14"/>
      <c r="AC28" s="14"/>
      <c r="AD28" s="14"/>
      <c r="AE28" s="16"/>
      <c r="AF28" s="14"/>
      <c r="AG28" s="14"/>
      <c r="AH28" s="14"/>
      <c r="AI28" s="14" t="s">
        <v>125</v>
      </c>
      <c r="AJ28" s="14"/>
      <c r="AK28" s="14"/>
      <c r="AL28" s="16" t="s">
        <v>42</v>
      </c>
      <c r="AM28" s="16"/>
    </row>
    <row r="29" spans="1:39" ht="12.75" customHeight="1" x14ac:dyDescent="0.3">
      <c r="A29" s="9" t="s">
        <v>102</v>
      </c>
      <c r="B29" s="14" t="s">
        <v>158</v>
      </c>
      <c r="C29" s="10" t="str">
        <f t="shared" si="33"/>
        <v>Stephanie Hauser</v>
      </c>
      <c r="D29" s="10">
        <f t="shared" si="18"/>
        <v>10</v>
      </c>
      <c r="E29" s="10">
        <f t="shared" si="19"/>
        <v>10</v>
      </c>
      <c r="F29" s="10" t="str">
        <f t="shared" si="20"/>
        <v>Stephanie</v>
      </c>
      <c r="G29" s="10" t="str">
        <f t="shared" si="21"/>
        <v>Hauser</v>
      </c>
      <c r="H29" s="10" t="str">
        <f t="shared" si="22"/>
        <v>Hauser</v>
      </c>
      <c r="I29" s="15" t="s">
        <v>47</v>
      </c>
      <c r="J29" s="10" t="str">
        <f t="shared" si="66"/>
        <v>S</v>
      </c>
      <c r="K29" s="10" t="str">
        <f t="shared" si="66"/>
        <v>H</v>
      </c>
      <c r="L29" s="14"/>
      <c r="M29" s="14" t="s">
        <v>119</v>
      </c>
      <c r="N29" s="16" t="s">
        <v>104</v>
      </c>
      <c r="O29" s="10">
        <f t="shared" si="24"/>
        <v>6</v>
      </c>
      <c r="P29" s="10" t="str">
        <f t="shared" si="25"/>
        <v>adac.de</v>
      </c>
      <c r="Q29" s="10" t="s">
        <v>185</v>
      </c>
      <c r="R29" s="10" t="str">
        <f t="shared" si="26"/>
        <v>stephanie.hauser@adac.de</v>
      </c>
      <c r="S29" s="10" t="str">
        <f t="shared" si="27"/>
        <v>stephaniehauser@adac.de</v>
      </c>
      <c r="T29" s="10" t="str">
        <f t="shared" si="28"/>
        <v>s.hauser@adac.de</v>
      </c>
      <c r="U29" s="10" t="str">
        <f t="shared" si="29"/>
        <v>hauser@adac.de</v>
      </c>
      <c r="V29" s="10" t="str">
        <f t="shared" si="30"/>
        <v>sh@adac.de</v>
      </c>
      <c r="W29" s="10" t="str">
        <f t="shared" si="31"/>
        <v>stephanie@adac.de</v>
      </c>
      <c r="X29" s="17" t="str">
        <f t="shared" si="32"/>
        <v>ADAC Finanzdienste GmbH</v>
      </c>
      <c r="Y29" s="14"/>
      <c r="Z29" s="14" t="s">
        <v>105</v>
      </c>
      <c r="AA29" s="14" t="s">
        <v>106</v>
      </c>
      <c r="AB29" s="14"/>
      <c r="AC29" s="14"/>
      <c r="AD29" s="14"/>
      <c r="AE29" s="16"/>
      <c r="AF29" s="14"/>
      <c r="AG29" s="14"/>
      <c r="AH29" s="14"/>
      <c r="AI29" s="14"/>
      <c r="AJ29" s="14"/>
      <c r="AK29" s="14"/>
      <c r="AL29" s="16" t="s">
        <v>42</v>
      </c>
      <c r="AM29" s="16"/>
    </row>
    <row r="30" spans="1:39" ht="12.75" customHeight="1" x14ac:dyDescent="0.3">
      <c r="A30" s="9" t="s">
        <v>102</v>
      </c>
      <c r="B30" s="14"/>
      <c r="C30" s="10" t="str">
        <f t="shared" si="17"/>
        <v/>
      </c>
      <c r="D30" s="10" t="e">
        <f t="shared" si="18"/>
        <v>#VALUE!</v>
      </c>
      <c r="E30" s="10" t="e">
        <f t="shared" si="19"/>
        <v>#VALUE!</v>
      </c>
      <c r="F30" s="10" t="e">
        <f t="shared" si="20"/>
        <v>#VALUE!</v>
      </c>
      <c r="G30" s="10" t="e">
        <f t="shared" si="21"/>
        <v>#VALUE!</v>
      </c>
      <c r="H30" s="10" t="e">
        <f t="shared" si="22"/>
        <v>#VALUE!</v>
      </c>
      <c r="I30" s="15">
        <v>0</v>
      </c>
      <c r="J30" s="10" t="e">
        <f t="shared" si="66"/>
        <v>#VALUE!</v>
      </c>
      <c r="K30" s="10" t="e">
        <f t="shared" si="66"/>
        <v>#VALUE!</v>
      </c>
      <c r="L30" s="14"/>
      <c r="M30" s="14" t="s">
        <v>120</v>
      </c>
      <c r="N30" s="16" t="s">
        <v>104</v>
      </c>
      <c r="O30" s="10">
        <f t="shared" si="24"/>
        <v>6</v>
      </c>
      <c r="P30" s="10" t="str">
        <f t="shared" si="25"/>
        <v>adac.de</v>
      </c>
      <c r="Q30" t="s">
        <v>121</v>
      </c>
      <c r="R30" s="10" t="e">
        <f t="shared" si="26"/>
        <v>#VALUE!</v>
      </c>
      <c r="S30" s="10" t="e">
        <f t="shared" si="27"/>
        <v>#VALUE!</v>
      </c>
      <c r="T30" s="10" t="e">
        <f t="shared" si="28"/>
        <v>#VALUE!</v>
      </c>
      <c r="U30" s="10" t="e">
        <f t="shared" si="29"/>
        <v>#VALUE!</v>
      </c>
      <c r="V30" s="10" t="e">
        <f t="shared" si="30"/>
        <v>#VALUE!</v>
      </c>
      <c r="W30" s="10" t="e">
        <f t="shared" si="31"/>
        <v>#VALUE!</v>
      </c>
      <c r="X30" s="17" t="str">
        <f t="shared" si="32"/>
        <v>ADAC Finanzdienste GmbH</v>
      </c>
      <c r="Y30" s="16"/>
      <c r="Z30" s="27"/>
      <c r="AA30" s="27"/>
      <c r="AB30" s="16"/>
      <c r="AC30" s="27"/>
      <c r="AD30" s="16"/>
      <c r="AE30" s="16"/>
      <c r="AF30" s="16"/>
      <c r="AG30" s="16"/>
      <c r="AH30" s="14"/>
      <c r="AI30" s="14"/>
      <c r="AJ30" s="14"/>
      <c r="AK30" s="14"/>
      <c r="AL30" s="16" t="s">
        <v>42</v>
      </c>
      <c r="AM30" s="16"/>
    </row>
    <row r="31" spans="1:39" ht="12.75" customHeight="1" x14ac:dyDescent="0.3">
      <c r="A31" s="12" t="s">
        <v>102</v>
      </c>
      <c r="B31" s="14"/>
      <c r="C31" s="10" t="str">
        <f t="shared" si="17"/>
        <v/>
      </c>
      <c r="D31" s="10" t="e">
        <f t="shared" si="18"/>
        <v>#VALUE!</v>
      </c>
      <c r="E31" s="10" t="e">
        <f t="shared" si="19"/>
        <v>#VALUE!</v>
      </c>
      <c r="F31" s="10" t="e">
        <f t="shared" si="20"/>
        <v>#VALUE!</v>
      </c>
      <c r="G31" s="10" t="e">
        <f t="shared" si="21"/>
        <v>#VALUE!</v>
      </c>
      <c r="H31" s="10" t="e">
        <f t="shared" si="22"/>
        <v>#VALUE!</v>
      </c>
      <c r="I31" s="15">
        <v>0</v>
      </c>
      <c r="J31" s="10" t="e">
        <f t="shared" si="66"/>
        <v>#VALUE!</v>
      </c>
      <c r="K31" s="10" t="e">
        <f t="shared" si="66"/>
        <v>#VALUE!</v>
      </c>
      <c r="L31" s="14"/>
      <c r="M31" s="14"/>
      <c r="N31" s="16" t="s">
        <v>104</v>
      </c>
      <c r="O31" s="10">
        <f t="shared" si="24"/>
        <v>6</v>
      </c>
      <c r="P31" s="10" t="str">
        <f t="shared" si="25"/>
        <v>adac.de</v>
      </c>
      <c r="Q31" s="16" t="s">
        <v>104</v>
      </c>
      <c r="R31" s="10" t="e">
        <f t="shared" si="26"/>
        <v>#VALUE!</v>
      </c>
      <c r="S31" s="10" t="e">
        <f t="shared" si="27"/>
        <v>#VALUE!</v>
      </c>
      <c r="T31" s="10" t="e">
        <f t="shared" si="28"/>
        <v>#VALUE!</v>
      </c>
      <c r="U31" s="10" t="e">
        <f t="shared" si="29"/>
        <v>#VALUE!</v>
      </c>
      <c r="V31" s="10" t="e">
        <f t="shared" si="30"/>
        <v>#VALUE!</v>
      </c>
      <c r="W31" s="10" t="e">
        <f t="shared" si="31"/>
        <v>#VALUE!</v>
      </c>
      <c r="X31" s="17" t="str">
        <f t="shared" si="32"/>
        <v>ADAC Finanzdienste GmbH</v>
      </c>
      <c r="Y31" s="14"/>
      <c r="Z31" s="27" t="s">
        <v>108</v>
      </c>
      <c r="AA31" s="27" t="s">
        <v>109</v>
      </c>
      <c r="AB31" s="14"/>
      <c r="AC31" s="28"/>
      <c r="AD31" s="14"/>
      <c r="AE31" s="16"/>
      <c r="AF31" s="14"/>
      <c r="AG31" s="14"/>
      <c r="AH31" s="29" t="s">
        <v>122</v>
      </c>
      <c r="AI31" s="16" t="s">
        <v>73</v>
      </c>
      <c r="AJ31" s="14"/>
      <c r="AK31" s="14"/>
      <c r="AL31" s="16" t="s">
        <v>42</v>
      </c>
      <c r="AM31" s="16"/>
    </row>
    <row r="32" spans="1:39" s="30" customFormat="1" ht="12.75" customHeight="1" x14ac:dyDescent="0.3">
      <c r="A32" s="9" t="s">
        <v>128</v>
      </c>
      <c r="B32" s="14" t="s">
        <v>75</v>
      </c>
      <c r="C32" s="10" t="str">
        <f t="shared" si="17"/>
        <v>Jan Koenigshofen</v>
      </c>
      <c r="D32" s="10">
        <f t="shared" si="18"/>
        <v>4</v>
      </c>
      <c r="E32" s="10">
        <f t="shared" si="19"/>
        <v>4</v>
      </c>
      <c r="F32" s="10" t="str">
        <f t="shared" si="20"/>
        <v>Jan</v>
      </c>
      <c r="G32" s="10" t="str">
        <f t="shared" si="21"/>
        <v>Koenigshofen</v>
      </c>
      <c r="H32" s="10" t="str">
        <f t="shared" si="22"/>
        <v>Königshofen</v>
      </c>
      <c r="I32" s="11" t="s">
        <v>47</v>
      </c>
      <c r="J32" s="10" t="str">
        <f t="shared" si="66"/>
        <v>J</v>
      </c>
      <c r="K32" s="10" t="str">
        <f t="shared" si="66"/>
        <v>K</v>
      </c>
      <c r="L32" s="9"/>
      <c r="M32" s="9" t="s">
        <v>129</v>
      </c>
      <c r="N32" s="10" t="s">
        <v>130</v>
      </c>
      <c r="O32" s="10">
        <f t="shared" si="24"/>
        <v>6</v>
      </c>
      <c r="P32" s="10" t="str">
        <f t="shared" si="25"/>
        <v>aab.de</v>
      </c>
      <c r="Q32" s="10" t="s">
        <v>160</v>
      </c>
      <c r="R32" s="10" t="str">
        <f t="shared" si="26"/>
        <v>jan.koenigshofen@aab.de</v>
      </c>
      <c r="S32" s="10" t="str">
        <f t="shared" si="27"/>
        <v>jankoenigshofen@aab.de</v>
      </c>
      <c r="T32" s="10" t="str">
        <f t="shared" si="28"/>
        <v>j.koenigshofen@aab.de</v>
      </c>
      <c r="U32" s="10" t="str">
        <f t="shared" si="29"/>
        <v>koenigshofen@aab.de</v>
      </c>
      <c r="V32" s="10" t="str">
        <f t="shared" si="30"/>
        <v>jk@aab.de</v>
      </c>
      <c r="W32" s="10" t="str">
        <f t="shared" si="31"/>
        <v>jan@aab.de</v>
      </c>
      <c r="X32" s="12" t="str">
        <f t="shared" si="32"/>
        <v>Augsburger Aktienbank AG</v>
      </c>
      <c r="Y32" s="9"/>
      <c r="Z32" s="9"/>
      <c r="AA32" s="9"/>
      <c r="AB32" s="9"/>
      <c r="AC32" s="9"/>
      <c r="AD32" s="9"/>
      <c r="AE32" s="10"/>
      <c r="AF32" s="9"/>
      <c r="AG32" s="9"/>
      <c r="AH32" s="9" t="s">
        <v>52</v>
      </c>
      <c r="AI32" s="9"/>
      <c r="AJ32" s="9"/>
      <c r="AK32" s="9"/>
      <c r="AL32" s="10" t="s">
        <v>42</v>
      </c>
      <c r="AM32" s="10"/>
    </row>
    <row r="33" spans="1:1030" s="30" customFormat="1" ht="12.75" customHeight="1" x14ac:dyDescent="0.3">
      <c r="A33" s="9" t="s">
        <v>128</v>
      </c>
      <c r="B33" s="14" t="s">
        <v>76</v>
      </c>
      <c r="C33" s="10" t="str">
        <f t="shared" si="17"/>
        <v>Stephanie Windeck</v>
      </c>
      <c r="D33" s="10">
        <f t="shared" si="18"/>
        <v>10</v>
      </c>
      <c r="E33" s="10">
        <f t="shared" si="19"/>
        <v>10</v>
      </c>
      <c r="F33" s="10" t="str">
        <f t="shared" si="20"/>
        <v>Stephanie</v>
      </c>
      <c r="G33" s="10" t="str">
        <f t="shared" si="21"/>
        <v>Windeck</v>
      </c>
      <c r="H33" s="10" t="str">
        <f t="shared" si="22"/>
        <v>Windeck</v>
      </c>
      <c r="I33" s="11" t="s">
        <v>44</v>
      </c>
      <c r="J33" s="10" t="str">
        <f t="shared" si="66"/>
        <v>S</v>
      </c>
      <c r="K33" s="10" t="str">
        <f t="shared" si="66"/>
        <v>W</v>
      </c>
      <c r="L33" s="9"/>
      <c r="M33" s="9" t="s">
        <v>131</v>
      </c>
      <c r="N33" s="10" t="s">
        <v>132</v>
      </c>
      <c r="O33" s="10">
        <f t="shared" si="24"/>
        <v>6</v>
      </c>
      <c r="P33" s="10" t="str">
        <f t="shared" si="25"/>
        <v>netbank.de</v>
      </c>
      <c r="Q33" s="10" t="s">
        <v>161</v>
      </c>
      <c r="R33" s="10" t="str">
        <f t="shared" si="26"/>
        <v>stephanie.windeck@netbank.de</v>
      </c>
      <c r="S33" s="10" t="str">
        <f t="shared" si="27"/>
        <v>stephaniewindeck@netbank.de</v>
      </c>
      <c r="T33" s="10" t="str">
        <f t="shared" si="28"/>
        <v>s.windeck@netbank.de</v>
      </c>
      <c r="U33" s="10" t="str">
        <f t="shared" si="29"/>
        <v>windeck@netbank.de</v>
      </c>
      <c r="V33" s="10" t="str">
        <f t="shared" si="30"/>
        <v>sw@netbank.de</v>
      </c>
      <c r="W33" s="10" t="str">
        <f t="shared" si="31"/>
        <v>stephanie@netbank.de</v>
      </c>
      <c r="X33" s="12" t="str">
        <f t="shared" si="32"/>
        <v>Augsburger Aktienbank AG</v>
      </c>
      <c r="Y33" s="9" t="s">
        <v>133</v>
      </c>
      <c r="Z33" s="9" t="s">
        <v>134</v>
      </c>
      <c r="AA33" s="9" t="s">
        <v>135</v>
      </c>
      <c r="AB33" s="9"/>
      <c r="AC33" s="10"/>
      <c r="AD33" s="10"/>
      <c r="AE33" s="9"/>
      <c r="AF33" s="9"/>
      <c r="AG33" s="9"/>
      <c r="AH33" s="9" t="s">
        <v>136</v>
      </c>
      <c r="AI33" s="9" t="s">
        <v>137</v>
      </c>
      <c r="AJ33" s="10"/>
      <c r="AK33" s="10"/>
      <c r="AL33" s="10" t="s">
        <v>42</v>
      </c>
      <c r="AM33" s="10"/>
    </row>
    <row r="34" spans="1:1030" s="30" customFormat="1" ht="12.75" customHeight="1" x14ac:dyDescent="0.3">
      <c r="A34" s="19" t="s">
        <v>128</v>
      </c>
      <c r="B34" s="20" t="s">
        <v>77</v>
      </c>
      <c r="C34" s="10" t="str">
        <f t="shared" si="17"/>
        <v>Andrea Reinartz</v>
      </c>
      <c r="D34" s="10">
        <f t="shared" si="18"/>
        <v>7</v>
      </c>
      <c r="E34" s="10">
        <f t="shared" si="19"/>
        <v>7</v>
      </c>
      <c r="F34" s="10" t="str">
        <f t="shared" si="20"/>
        <v>Andrea</v>
      </c>
      <c r="G34" s="10" t="str">
        <f t="shared" si="21"/>
        <v>Reinartz</v>
      </c>
      <c r="H34" s="10" t="str">
        <f t="shared" si="22"/>
        <v>Reinartz</v>
      </c>
      <c r="I34" s="31" t="s">
        <v>47</v>
      </c>
      <c r="J34" s="10" t="str">
        <f t="shared" si="66"/>
        <v>A</v>
      </c>
      <c r="K34" s="10" t="str">
        <f t="shared" si="66"/>
        <v>R</v>
      </c>
      <c r="L34" s="19"/>
      <c r="M34" s="17" t="s">
        <v>155</v>
      </c>
      <c r="N34" s="10" t="s">
        <v>132</v>
      </c>
      <c r="O34" s="10">
        <f t="shared" si="24"/>
        <v>6</v>
      </c>
      <c r="P34" s="10" t="str">
        <f t="shared" si="25"/>
        <v>netbank.de</v>
      </c>
      <c r="Q34" s="10" t="s">
        <v>162</v>
      </c>
      <c r="R34" s="10" t="str">
        <f t="shared" si="26"/>
        <v>andrea.reinartz@netbank.de</v>
      </c>
      <c r="S34" s="10" t="str">
        <f t="shared" si="27"/>
        <v>andreareinartz@netbank.de</v>
      </c>
      <c r="T34" s="10" t="str">
        <f t="shared" si="28"/>
        <v>a.reinartz@netbank.de</v>
      </c>
      <c r="U34" s="10" t="str">
        <f t="shared" si="29"/>
        <v>reinartz@netbank.de</v>
      </c>
      <c r="V34" s="10" t="str">
        <f t="shared" si="30"/>
        <v>ar@netbank.de</v>
      </c>
      <c r="W34" s="10" t="str">
        <f t="shared" si="31"/>
        <v>andrea@netbank.de</v>
      </c>
      <c r="X34" s="12" t="str">
        <f t="shared" si="32"/>
        <v>Augsburger Aktienbank AG</v>
      </c>
      <c r="Y34" s="19"/>
      <c r="Z34" s="19"/>
      <c r="AA34" s="19"/>
      <c r="AB34" s="32"/>
      <c r="AC34" s="32"/>
      <c r="AD34" s="32"/>
      <c r="AE34" s="32"/>
      <c r="AF34" s="32"/>
      <c r="AG34" s="32"/>
      <c r="AH34" s="32"/>
      <c r="AI34" s="13" t="s">
        <v>54</v>
      </c>
      <c r="AJ34" s="13"/>
      <c r="AK34" s="13"/>
      <c r="AL34" s="10" t="s">
        <v>42</v>
      </c>
      <c r="AM34" s="10"/>
    </row>
    <row r="35" spans="1:1030" s="30" customFormat="1" ht="12.75" customHeight="1" x14ac:dyDescent="0.3">
      <c r="A35" s="19" t="s">
        <v>128</v>
      </c>
      <c r="B35" s="14" t="s">
        <v>78</v>
      </c>
      <c r="C35" s="10" t="str">
        <f t="shared" si="17"/>
        <v>Dirk Bittmann</v>
      </c>
      <c r="D35" s="10">
        <f t="shared" si="18"/>
        <v>5</v>
      </c>
      <c r="E35" s="10">
        <f t="shared" si="19"/>
        <v>5</v>
      </c>
      <c r="F35" s="10" t="str">
        <f t="shared" si="20"/>
        <v>Dirk</v>
      </c>
      <c r="G35" s="10" t="str">
        <f t="shared" si="21"/>
        <v>Bittmann</v>
      </c>
      <c r="H35" s="10" t="str">
        <f t="shared" si="22"/>
        <v>Bittmann</v>
      </c>
      <c r="I35" s="31" t="s">
        <v>47</v>
      </c>
      <c r="J35" s="10" t="str">
        <f t="shared" si="66"/>
        <v>D</v>
      </c>
      <c r="K35" s="10" t="str">
        <f t="shared" si="66"/>
        <v>B</v>
      </c>
      <c r="L35" s="19"/>
      <c r="M35" s="19" t="s">
        <v>138</v>
      </c>
      <c r="N35" s="10" t="s">
        <v>132</v>
      </c>
      <c r="O35" s="10">
        <f t="shared" si="24"/>
        <v>6</v>
      </c>
      <c r="P35" s="10" t="str">
        <f t="shared" si="25"/>
        <v>netbank.de</v>
      </c>
      <c r="Q35" s="10" t="s">
        <v>163</v>
      </c>
      <c r="R35" s="10" t="str">
        <f t="shared" si="26"/>
        <v>dirk.bittmann@netbank.de</v>
      </c>
      <c r="S35" s="10" t="str">
        <f t="shared" si="27"/>
        <v>dirkbittmann@netbank.de</v>
      </c>
      <c r="T35" s="10" t="str">
        <f t="shared" si="28"/>
        <v>d.bittmann@netbank.de</v>
      </c>
      <c r="U35" s="10" t="str">
        <f t="shared" si="29"/>
        <v>bittmann@netbank.de</v>
      </c>
      <c r="V35" s="10" t="str">
        <f t="shared" si="30"/>
        <v>db@netbank.de</v>
      </c>
      <c r="W35" s="10" t="str">
        <f t="shared" si="31"/>
        <v>dirk@netbank.de</v>
      </c>
      <c r="X35" s="12" t="str">
        <f t="shared" si="32"/>
        <v>Augsburger Aktienbank AG</v>
      </c>
      <c r="Y35" s="19"/>
      <c r="Z35" s="19"/>
      <c r="AA35" s="19"/>
      <c r="AB35" s="32"/>
      <c r="AC35" s="32"/>
      <c r="AD35" s="32"/>
      <c r="AE35" s="32"/>
      <c r="AF35" s="32"/>
      <c r="AG35" s="32"/>
      <c r="AH35" s="32"/>
      <c r="AI35" s="13" t="s">
        <v>54</v>
      </c>
      <c r="AJ35" s="13"/>
      <c r="AK35" s="13"/>
      <c r="AL35" s="10" t="s">
        <v>42</v>
      </c>
      <c r="AM35" s="10"/>
    </row>
    <row r="36" spans="1:1030" s="30" customFormat="1" ht="12.75" customHeight="1" x14ac:dyDescent="0.3">
      <c r="A36" s="9" t="s">
        <v>128</v>
      </c>
      <c r="B36" s="20" t="s">
        <v>79</v>
      </c>
      <c r="C36" s="10" t="str">
        <f t="shared" si="17"/>
        <v>Dirk Ferwer</v>
      </c>
      <c r="D36" s="10">
        <f t="shared" si="18"/>
        <v>5</v>
      </c>
      <c r="E36" s="10">
        <f t="shared" si="19"/>
        <v>5</v>
      </c>
      <c r="F36" s="10" t="str">
        <f t="shared" si="20"/>
        <v>Dirk</v>
      </c>
      <c r="G36" s="10" t="str">
        <f t="shared" si="21"/>
        <v>Ferwer</v>
      </c>
      <c r="H36" s="10" t="str">
        <f t="shared" si="22"/>
        <v>Ferwer</v>
      </c>
      <c r="I36" s="33" t="s">
        <v>44</v>
      </c>
      <c r="J36" s="10" t="str">
        <f t="shared" si="66"/>
        <v>D</v>
      </c>
      <c r="K36" s="10" t="str">
        <f t="shared" si="66"/>
        <v>F</v>
      </c>
      <c r="L36" s="9"/>
      <c r="M36" s="9" t="s">
        <v>139</v>
      </c>
      <c r="N36" s="10" t="s">
        <v>130</v>
      </c>
      <c r="O36" s="10">
        <f t="shared" si="24"/>
        <v>6</v>
      </c>
      <c r="P36" s="10" t="str">
        <f t="shared" si="25"/>
        <v>aab.de</v>
      </c>
      <c r="Q36" s="10" t="s">
        <v>164</v>
      </c>
      <c r="R36" s="10" t="str">
        <f t="shared" si="26"/>
        <v>dirk.ferwer@aab.de</v>
      </c>
      <c r="S36" s="10" t="str">
        <f t="shared" si="27"/>
        <v>dirkferwer@aab.de</v>
      </c>
      <c r="T36" s="10" t="str">
        <f t="shared" si="28"/>
        <v>d.ferwer@aab.de</v>
      </c>
      <c r="U36" s="10" t="str">
        <f t="shared" si="29"/>
        <v>ferwer@aab.de</v>
      </c>
      <c r="V36" s="10" t="str">
        <f t="shared" si="30"/>
        <v>df@aab.de</v>
      </c>
      <c r="W36" s="10" t="str">
        <f t="shared" si="31"/>
        <v>dirk@aab.de</v>
      </c>
      <c r="X36" s="12" t="str">
        <f t="shared" si="32"/>
        <v>Augsburger Aktienbank AG</v>
      </c>
      <c r="Y36" s="9"/>
      <c r="Z36" s="9"/>
      <c r="AA36" s="9"/>
      <c r="AB36" s="9"/>
      <c r="AC36" s="9"/>
      <c r="AD36" s="9"/>
      <c r="AE36" s="10"/>
      <c r="AF36" s="9"/>
      <c r="AG36" s="9"/>
      <c r="AH36" s="24" t="s">
        <v>72</v>
      </c>
      <c r="AI36" s="24" t="s">
        <v>73</v>
      </c>
      <c r="AJ36" s="9"/>
      <c r="AK36" s="9"/>
      <c r="AL36" s="10" t="s">
        <v>42</v>
      </c>
      <c r="AM36" s="10"/>
    </row>
    <row r="37" spans="1:1030" s="30" customFormat="1" ht="12.75" customHeight="1" x14ac:dyDescent="0.3">
      <c r="A37" s="9" t="s">
        <v>128</v>
      </c>
      <c r="B37" s="20" t="s">
        <v>80</v>
      </c>
      <c r="C37" s="10" t="str">
        <f t="shared" si="17"/>
        <v>Hassan Madani</v>
      </c>
      <c r="D37" s="10">
        <f t="shared" si="18"/>
        <v>7</v>
      </c>
      <c r="E37" s="10">
        <f t="shared" si="19"/>
        <v>7</v>
      </c>
      <c r="F37" s="10" t="str">
        <f t="shared" si="20"/>
        <v>Hassan</v>
      </c>
      <c r="G37" s="10" t="str">
        <f t="shared" si="21"/>
        <v>Madani</v>
      </c>
      <c r="H37" s="10" t="str">
        <f t="shared" si="22"/>
        <v>Madani</v>
      </c>
      <c r="I37" s="11" t="s">
        <v>47</v>
      </c>
      <c r="J37" s="10" t="str">
        <f t="shared" si="66"/>
        <v>H</v>
      </c>
      <c r="K37" s="10" t="str">
        <f t="shared" si="66"/>
        <v>M</v>
      </c>
      <c r="L37" s="9"/>
      <c r="M37" s="9" t="s">
        <v>138</v>
      </c>
      <c r="N37" s="10" t="s">
        <v>130</v>
      </c>
      <c r="O37" s="10">
        <f t="shared" si="24"/>
        <v>6</v>
      </c>
      <c r="P37" s="10" t="str">
        <f t="shared" si="25"/>
        <v>aab.de</v>
      </c>
      <c r="Q37" s="10" t="s">
        <v>165</v>
      </c>
      <c r="R37" s="10" t="str">
        <f t="shared" si="26"/>
        <v>hassan.madani@aab.de</v>
      </c>
      <c r="S37" s="10" t="str">
        <f t="shared" si="27"/>
        <v>hassanmadani@aab.de</v>
      </c>
      <c r="T37" s="10" t="str">
        <f t="shared" si="28"/>
        <v>h.madani@aab.de</v>
      </c>
      <c r="U37" s="10" t="str">
        <f t="shared" si="29"/>
        <v>madani@aab.de</v>
      </c>
      <c r="V37" s="10" t="str">
        <f t="shared" si="30"/>
        <v>hm@aab.de</v>
      </c>
      <c r="W37" s="10" t="str">
        <f t="shared" si="31"/>
        <v>hassan@aab.de</v>
      </c>
      <c r="X37" s="12" t="str">
        <f t="shared" si="32"/>
        <v>Augsburger Aktienbank AG</v>
      </c>
      <c r="Y37" s="9"/>
      <c r="Z37" s="9"/>
      <c r="AA37" s="9"/>
      <c r="AB37" s="9"/>
      <c r="AC37" s="9"/>
      <c r="AD37" s="9"/>
      <c r="AE37" s="10"/>
      <c r="AF37" s="10"/>
      <c r="AG37" s="9"/>
      <c r="AH37" s="14" t="s">
        <v>99</v>
      </c>
      <c r="AI37" s="16" t="s">
        <v>96</v>
      </c>
      <c r="AJ37" s="9"/>
      <c r="AK37" s="9"/>
      <c r="AL37" s="10" t="s">
        <v>42</v>
      </c>
      <c r="AM37" s="10"/>
    </row>
    <row r="38" spans="1:1030" s="30" customFormat="1" ht="12.75" customHeight="1" x14ac:dyDescent="0.3">
      <c r="A38" s="19" t="s">
        <v>128</v>
      </c>
      <c r="B38" s="20" t="s">
        <v>81</v>
      </c>
      <c r="C38" s="10" t="str">
        <f t="shared" si="17"/>
        <v>Laura Vetten</v>
      </c>
      <c r="D38" s="10">
        <f t="shared" si="18"/>
        <v>6</v>
      </c>
      <c r="E38" s="10">
        <f t="shared" si="19"/>
        <v>6</v>
      </c>
      <c r="F38" s="10" t="str">
        <f t="shared" si="20"/>
        <v>Laura</v>
      </c>
      <c r="G38" s="10" t="str">
        <f t="shared" si="21"/>
        <v>Vetten</v>
      </c>
      <c r="H38" s="10" t="str">
        <f t="shared" si="22"/>
        <v>Vetten</v>
      </c>
      <c r="I38" s="31" t="s">
        <v>47</v>
      </c>
      <c r="J38" s="10" t="str">
        <f t="shared" ref="J38:K47" si="83">LEFT(F38,1)</f>
        <v>L</v>
      </c>
      <c r="K38" s="10" t="str">
        <f t="shared" si="83"/>
        <v>V</v>
      </c>
      <c r="L38" s="19"/>
      <c r="M38" s="19" t="s">
        <v>138</v>
      </c>
      <c r="N38" s="10" t="s">
        <v>132</v>
      </c>
      <c r="O38" s="10">
        <f t="shared" si="24"/>
        <v>6</v>
      </c>
      <c r="P38" s="10" t="str">
        <f t="shared" si="25"/>
        <v>netbank.de</v>
      </c>
      <c r="Q38" s="10" t="s">
        <v>166</v>
      </c>
      <c r="R38" s="10" t="str">
        <f t="shared" si="26"/>
        <v>laura.vetten@netbank.de</v>
      </c>
      <c r="S38" s="10" t="str">
        <f t="shared" si="27"/>
        <v>lauravetten@netbank.de</v>
      </c>
      <c r="T38" s="10" t="str">
        <f t="shared" si="28"/>
        <v>l.vetten@netbank.de</v>
      </c>
      <c r="U38" s="10" t="str">
        <f t="shared" si="29"/>
        <v>vetten@netbank.de</v>
      </c>
      <c r="V38" s="10" t="str">
        <f t="shared" si="30"/>
        <v>lv@netbank.de</v>
      </c>
      <c r="W38" s="10" t="str">
        <f t="shared" si="31"/>
        <v>laura@netbank.de</v>
      </c>
      <c r="X38" s="12" t="str">
        <f t="shared" si="32"/>
        <v>Augsburger Aktienbank AG</v>
      </c>
      <c r="Y38" s="19"/>
      <c r="Z38" s="19"/>
      <c r="AA38" s="19"/>
      <c r="AB38" s="32"/>
      <c r="AC38" s="32"/>
      <c r="AD38" s="32"/>
      <c r="AE38" s="32"/>
      <c r="AF38" s="32"/>
      <c r="AG38" s="32"/>
      <c r="AH38" s="14" t="s">
        <v>98</v>
      </c>
      <c r="AI38" s="16" t="s">
        <v>97</v>
      </c>
      <c r="AJ38" s="13"/>
      <c r="AK38" s="13"/>
      <c r="AL38" s="10" t="s">
        <v>42</v>
      </c>
      <c r="AM38" s="10"/>
    </row>
    <row r="39" spans="1:1030" s="30" customFormat="1" ht="12.75" customHeight="1" x14ac:dyDescent="0.3">
      <c r="A39" s="9" t="s">
        <v>128</v>
      </c>
      <c r="B39" s="20" t="s">
        <v>82</v>
      </c>
      <c r="C39" s="10" t="str">
        <f t="shared" si="17"/>
        <v>Michael von Roepenack</v>
      </c>
      <c r="D39" s="10">
        <f t="shared" si="18"/>
        <v>8</v>
      </c>
      <c r="E39" s="10">
        <f t="shared" si="19"/>
        <v>8</v>
      </c>
      <c r="F39" s="10" t="str">
        <f t="shared" si="20"/>
        <v>Michael</v>
      </c>
      <c r="G39" s="10" t="str">
        <f t="shared" si="21"/>
        <v>von Roepenack</v>
      </c>
      <c r="H39" s="10" t="str">
        <f t="shared" si="22"/>
        <v>Röpenack</v>
      </c>
      <c r="I39" s="11" t="s">
        <v>47</v>
      </c>
      <c r="J39" s="10" t="str">
        <f t="shared" si="83"/>
        <v>M</v>
      </c>
      <c r="K39" s="10" t="str">
        <f t="shared" si="83"/>
        <v>v</v>
      </c>
      <c r="L39" s="9"/>
      <c r="M39" s="9" t="s">
        <v>129</v>
      </c>
      <c r="N39" s="10" t="s">
        <v>130</v>
      </c>
      <c r="O39" s="10">
        <f t="shared" si="24"/>
        <v>6</v>
      </c>
      <c r="P39" s="10" t="str">
        <f t="shared" si="25"/>
        <v>aab.de</v>
      </c>
      <c r="Q39" s="10" t="s">
        <v>167</v>
      </c>
      <c r="R39" s="10" t="str">
        <f t="shared" si="26"/>
        <v>michael.von roepenack@aab.de</v>
      </c>
      <c r="S39" s="10" t="str">
        <f t="shared" si="27"/>
        <v>michaelvon roepenack@aab.de</v>
      </c>
      <c r="T39" s="10" t="str">
        <f t="shared" si="28"/>
        <v>m.von roepenack@aab.de</v>
      </c>
      <c r="U39" s="10" t="str">
        <f t="shared" si="29"/>
        <v>von roepenack@aab.de</v>
      </c>
      <c r="V39" s="10" t="str">
        <f t="shared" si="30"/>
        <v>mv@aab.de</v>
      </c>
      <c r="W39" s="10" t="str">
        <f t="shared" si="31"/>
        <v>michael@aab.de</v>
      </c>
      <c r="X39" s="12" t="str">
        <f t="shared" si="32"/>
        <v>Augsburger Aktienbank AG</v>
      </c>
      <c r="Y39" s="9"/>
      <c r="Z39" s="9"/>
      <c r="AA39" s="9"/>
      <c r="AB39" s="9"/>
      <c r="AC39" s="9"/>
      <c r="AD39" s="9"/>
      <c r="AE39" s="10"/>
      <c r="AF39" s="9"/>
      <c r="AG39" s="9"/>
      <c r="AH39" s="14" t="s">
        <v>98</v>
      </c>
      <c r="AI39" s="16" t="s">
        <v>100</v>
      </c>
      <c r="AJ39" s="9"/>
      <c r="AK39" s="9"/>
      <c r="AL39" s="10" t="s">
        <v>42</v>
      </c>
      <c r="AM39" s="10"/>
    </row>
    <row r="40" spans="1:1030" s="30" customFormat="1" ht="12.75" customHeight="1" x14ac:dyDescent="0.3">
      <c r="A40" s="19" t="s">
        <v>128</v>
      </c>
      <c r="B40" s="14" t="s">
        <v>83</v>
      </c>
      <c r="C40" s="10" t="str">
        <f t="shared" si="17"/>
        <v>Sabine Armgart</v>
      </c>
      <c r="D40" s="10">
        <f t="shared" si="18"/>
        <v>7</v>
      </c>
      <c r="E40" s="10">
        <f t="shared" si="19"/>
        <v>7</v>
      </c>
      <c r="F40" s="10" t="str">
        <f t="shared" si="20"/>
        <v>Sabine</v>
      </c>
      <c r="G40" s="10" t="str">
        <f t="shared" si="21"/>
        <v>Armgart</v>
      </c>
      <c r="H40" s="10" t="str">
        <f t="shared" si="22"/>
        <v>Armgart</v>
      </c>
      <c r="I40" s="31" t="s">
        <v>47</v>
      </c>
      <c r="J40" s="10" t="str">
        <f t="shared" si="83"/>
        <v>S</v>
      </c>
      <c r="K40" s="10" t="str">
        <f t="shared" si="83"/>
        <v>A</v>
      </c>
      <c r="L40" s="19"/>
      <c r="M40" s="19" t="s">
        <v>140</v>
      </c>
      <c r="N40" s="10" t="s">
        <v>132</v>
      </c>
      <c r="O40" s="10">
        <f t="shared" si="24"/>
        <v>6</v>
      </c>
      <c r="P40" s="10" t="str">
        <f t="shared" si="25"/>
        <v>netbank.de</v>
      </c>
      <c r="Q40" s="10" t="s">
        <v>168</v>
      </c>
      <c r="R40" s="10" t="str">
        <f t="shared" si="26"/>
        <v>sabine.armgart@netbank.de</v>
      </c>
      <c r="S40" s="10" t="str">
        <f t="shared" si="27"/>
        <v>sabinearmgart@netbank.de</v>
      </c>
      <c r="T40" s="10" t="str">
        <f t="shared" si="28"/>
        <v>s.armgart@netbank.de</v>
      </c>
      <c r="U40" s="10" t="str">
        <f t="shared" si="29"/>
        <v>armgart@netbank.de</v>
      </c>
      <c r="V40" s="10" t="str">
        <f t="shared" si="30"/>
        <v>sa@netbank.de</v>
      </c>
      <c r="W40" s="10" t="str">
        <f t="shared" si="31"/>
        <v>sabine@netbank.de</v>
      </c>
      <c r="X40" s="12" t="str">
        <f t="shared" si="32"/>
        <v>Augsburger Aktienbank AG</v>
      </c>
      <c r="Y40" s="19"/>
      <c r="Z40" s="19"/>
      <c r="AA40" s="19"/>
      <c r="AB40" s="32"/>
      <c r="AC40" s="32"/>
      <c r="AD40" s="32"/>
      <c r="AE40" s="32"/>
      <c r="AF40" s="32"/>
      <c r="AG40" s="32"/>
      <c r="AH40" s="14" t="s">
        <v>98</v>
      </c>
      <c r="AI40" s="16" t="s">
        <v>101</v>
      </c>
      <c r="AJ40" s="13"/>
      <c r="AK40" s="13"/>
      <c r="AL40" s="10" t="s">
        <v>42</v>
      </c>
      <c r="AM40" s="10"/>
    </row>
    <row r="41" spans="1:1030" s="30" customFormat="1" ht="12.75" customHeight="1" x14ac:dyDescent="0.3">
      <c r="A41" s="9" t="s">
        <v>128</v>
      </c>
      <c r="B41" s="20" t="s">
        <v>63</v>
      </c>
      <c r="C41" s="10" t="str">
        <f t="shared" si="17"/>
        <v>Steffi Wenkel</v>
      </c>
      <c r="D41" s="10">
        <f t="shared" si="18"/>
        <v>7</v>
      </c>
      <c r="E41" s="10">
        <f t="shared" si="19"/>
        <v>7</v>
      </c>
      <c r="F41" s="10" t="str">
        <f t="shared" si="20"/>
        <v>Steffi</v>
      </c>
      <c r="G41" s="10" t="str">
        <f t="shared" si="21"/>
        <v>Wenkel</v>
      </c>
      <c r="H41" s="10" t="str">
        <f t="shared" si="22"/>
        <v>Wenkel</v>
      </c>
      <c r="I41" s="11" t="s">
        <v>47</v>
      </c>
      <c r="J41" s="10" t="str">
        <f t="shared" si="83"/>
        <v>S</v>
      </c>
      <c r="K41" s="10" t="str">
        <f t="shared" si="83"/>
        <v>W</v>
      </c>
      <c r="L41" s="9"/>
      <c r="M41" s="9" t="s">
        <v>141</v>
      </c>
      <c r="N41" s="10" t="s">
        <v>132</v>
      </c>
      <c r="O41" s="10">
        <f t="shared" si="24"/>
        <v>6</v>
      </c>
      <c r="P41" s="10" t="str">
        <f t="shared" si="25"/>
        <v>netbank.de</v>
      </c>
      <c r="Q41" s="13" t="s">
        <v>169</v>
      </c>
      <c r="R41" s="10" t="str">
        <f t="shared" si="26"/>
        <v>steffi.wenkel@netbank.de</v>
      </c>
      <c r="S41" s="10" t="str">
        <f t="shared" si="27"/>
        <v>steffiwenkel@netbank.de</v>
      </c>
      <c r="T41" s="10" t="str">
        <f t="shared" si="28"/>
        <v>s.wenkel@netbank.de</v>
      </c>
      <c r="U41" s="10" t="str">
        <f t="shared" si="29"/>
        <v>wenkel@netbank.de</v>
      </c>
      <c r="V41" s="10" t="str">
        <f t="shared" si="30"/>
        <v>sw@netbank.de</v>
      </c>
      <c r="W41" s="10" t="str">
        <f t="shared" si="31"/>
        <v>steffi@netbank.de</v>
      </c>
      <c r="X41" s="12" t="str">
        <f t="shared" si="32"/>
        <v>Augsburger Aktienbank AG</v>
      </c>
      <c r="Y41" s="9" t="s">
        <v>133</v>
      </c>
      <c r="Z41" s="9"/>
      <c r="AA41" s="9"/>
      <c r="AB41" s="9"/>
      <c r="AC41" s="10"/>
      <c r="AD41" s="10"/>
      <c r="AE41" s="9"/>
      <c r="AF41" s="9"/>
      <c r="AG41" s="9"/>
      <c r="AH41" s="9"/>
      <c r="AI41" s="9"/>
      <c r="AJ41" s="9"/>
      <c r="AK41" s="9"/>
      <c r="AL41" s="10" t="s">
        <v>42</v>
      </c>
      <c r="AM41" s="10"/>
    </row>
    <row r="42" spans="1:1030" s="30" customFormat="1" ht="12.75" customHeight="1" x14ac:dyDescent="0.3">
      <c r="A42" s="9" t="s">
        <v>128</v>
      </c>
      <c r="B42" s="14" t="s">
        <v>66</v>
      </c>
      <c r="C42" s="10" t="str">
        <f t="shared" si="17"/>
        <v>Sven H. Korndoerffer</v>
      </c>
      <c r="D42" s="10">
        <f t="shared" si="18"/>
        <v>5</v>
      </c>
      <c r="E42" s="10">
        <f t="shared" si="19"/>
        <v>5</v>
      </c>
      <c r="F42" s="10" t="str">
        <f t="shared" si="20"/>
        <v>Sven</v>
      </c>
      <c r="G42" s="10" t="str">
        <f t="shared" si="21"/>
        <v>H. Korndoerffer</v>
      </c>
      <c r="H42" s="10" t="str">
        <f t="shared" si="22"/>
        <v>Korndörffer</v>
      </c>
      <c r="I42" s="11" t="s">
        <v>47</v>
      </c>
      <c r="J42" s="10" t="str">
        <f t="shared" si="83"/>
        <v>S</v>
      </c>
      <c r="K42" s="10" t="str">
        <f t="shared" si="83"/>
        <v>H</v>
      </c>
      <c r="L42" s="9"/>
      <c r="M42" s="9" t="s">
        <v>143</v>
      </c>
      <c r="N42" s="10" t="s">
        <v>132</v>
      </c>
      <c r="O42" s="10">
        <f t="shared" si="24"/>
        <v>6</v>
      </c>
      <c r="P42" s="10" t="str">
        <f t="shared" si="25"/>
        <v>netbank.de</v>
      </c>
      <c r="Q42" s="10" t="s">
        <v>170</v>
      </c>
      <c r="R42" s="10" t="str">
        <f t="shared" si="26"/>
        <v>sven.h. korndoerffer@netbank.de</v>
      </c>
      <c r="S42" s="10" t="str">
        <f t="shared" si="27"/>
        <v>svenh. korndoerffer@netbank.de</v>
      </c>
      <c r="T42" s="10" t="str">
        <f t="shared" si="28"/>
        <v>s.h. korndoerffer@netbank.de</v>
      </c>
      <c r="U42" s="10" t="str">
        <f t="shared" si="29"/>
        <v>h. korndoerffer@netbank.de</v>
      </c>
      <c r="V42" s="10" t="str">
        <f t="shared" si="30"/>
        <v>sh@netbank.de</v>
      </c>
      <c r="W42" s="10" t="str">
        <f t="shared" si="31"/>
        <v>sven@netbank.de</v>
      </c>
      <c r="X42" s="12" t="str">
        <f t="shared" si="32"/>
        <v>Augsburger Aktienbank AG</v>
      </c>
      <c r="Y42" s="9" t="s">
        <v>133</v>
      </c>
      <c r="Z42" s="9"/>
      <c r="AA42" s="9"/>
      <c r="AB42" s="9"/>
      <c r="AC42" s="9"/>
      <c r="AD42" s="10"/>
      <c r="AE42" s="9"/>
      <c r="AF42" s="9"/>
      <c r="AG42" s="10"/>
      <c r="AH42" s="9" t="s">
        <v>144</v>
      </c>
      <c r="AI42" s="9"/>
      <c r="AJ42" s="9"/>
      <c r="AK42" s="9"/>
      <c r="AL42" s="10" t="s">
        <v>42</v>
      </c>
      <c r="AM42" s="10"/>
    </row>
    <row r="43" spans="1:1030" s="10" customFormat="1" ht="13.35" customHeight="1" x14ac:dyDescent="0.3">
      <c r="A43" s="9" t="s">
        <v>128</v>
      </c>
      <c r="B43" s="14" t="s">
        <v>68</v>
      </c>
      <c r="C43" s="10" t="str">
        <f t="shared" si="17"/>
        <v>Thomas Mitzel</v>
      </c>
      <c r="D43" s="10">
        <f t="shared" si="18"/>
        <v>7</v>
      </c>
      <c r="E43" s="10">
        <f t="shared" si="19"/>
        <v>7</v>
      </c>
      <c r="F43" s="10" t="str">
        <f t="shared" si="20"/>
        <v>Thomas</v>
      </c>
      <c r="G43" s="10" t="str">
        <f t="shared" si="21"/>
        <v>Mitzel</v>
      </c>
      <c r="H43" s="10" t="str">
        <f t="shared" si="22"/>
        <v>Mitzel</v>
      </c>
      <c r="I43" s="11" t="s">
        <v>44</v>
      </c>
      <c r="J43" s="10" t="str">
        <f t="shared" si="83"/>
        <v>T</v>
      </c>
      <c r="K43" s="10" t="str">
        <f t="shared" si="83"/>
        <v>M</v>
      </c>
      <c r="L43" s="9"/>
      <c r="M43" s="9" t="s">
        <v>145</v>
      </c>
      <c r="N43" s="10" t="s">
        <v>132</v>
      </c>
      <c r="O43" s="10">
        <f t="shared" si="24"/>
        <v>6</v>
      </c>
      <c r="P43" s="10" t="str">
        <f t="shared" si="25"/>
        <v>netbank.de</v>
      </c>
      <c r="Q43" s="10" t="s">
        <v>171</v>
      </c>
      <c r="R43" s="10" t="str">
        <f t="shared" si="26"/>
        <v>thomas.mitzel@netbank.de</v>
      </c>
      <c r="S43" s="10" t="str">
        <f t="shared" si="27"/>
        <v>thomasmitzel@netbank.de</v>
      </c>
      <c r="T43" s="10" t="str">
        <f t="shared" si="28"/>
        <v>t.mitzel@netbank.de</v>
      </c>
      <c r="U43" s="10" t="str">
        <f t="shared" si="29"/>
        <v>mitzel@netbank.de</v>
      </c>
      <c r="V43" s="10" t="str">
        <f t="shared" si="30"/>
        <v>tm@netbank.de</v>
      </c>
      <c r="W43" s="10" t="str">
        <f t="shared" si="31"/>
        <v>thomas@netbank.de</v>
      </c>
      <c r="X43" s="12" t="str">
        <f t="shared" si="32"/>
        <v>Augsburger Aktienbank AG</v>
      </c>
      <c r="Y43" s="9" t="s">
        <v>133</v>
      </c>
      <c r="Z43" s="9" t="s">
        <v>134</v>
      </c>
      <c r="AA43" s="9" t="s">
        <v>135</v>
      </c>
      <c r="AB43" s="9"/>
      <c r="AD43" s="9"/>
      <c r="AE43" s="9"/>
      <c r="AF43" s="9"/>
      <c r="AG43" s="9"/>
      <c r="AH43" s="10" t="s">
        <v>146</v>
      </c>
      <c r="AL43" s="10" t="s">
        <v>42</v>
      </c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0"/>
      <c r="MS43" s="30"/>
      <c r="MT43" s="30"/>
      <c r="MU43" s="30"/>
      <c r="MV43" s="30"/>
      <c r="MW43" s="30"/>
      <c r="MX43" s="30"/>
      <c r="MY43" s="30"/>
      <c r="MZ43" s="30"/>
      <c r="NA43" s="30"/>
      <c r="NB43" s="30"/>
      <c r="NC43" s="30"/>
      <c r="ND43" s="30"/>
      <c r="NE43" s="30"/>
      <c r="NF43" s="30"/>
      <c r="NG43" s="30"/>
      <c r="NH43" s="30"/>
      <c r="NI43" s="30"/>
      <c r="NJ43" s="30"/>
      <c r="NK43" s="30"/>
      <c r="NL43" s="30"/>
      <c r="NM43" s="30"/>
      <c r="NN43" s="30"/>
      <c r="NO43" s="30"/>
      <c r="NP43" s="30"/>
      <c r="NQ43" s="30"/>
      <c r="NR43" s="30"/>
      <c r="NS43" s="30"/>
      <c r="NT43" s="30"/>
      <c r="NU43" s="30"/>
      <c r="NV43" s="30"/>
      <c r="NW43" s="30"/>
      <c r="NX43" s="30"/>
      <c r="NY43" s="30"/>
      <c r="NZ43" s="30"/>
      <c r="OA43" s="30"/>
      <c r="OB43" s="30"/>
      <c r="OC43" s="30"/>
      <c r="OD43" s="30"/>
      <c r="OE43" s="30"/>
      <c r="OF43" s="30"/>
      <c r="OG43" s="30"/>
      <c r="OH43" s="30"/>
      <c r="OI43" s="30"/>
      <c r="OJ43" s="30"/>
      <c r="OK43" s="30"/>
      <c r="OL43" s="30"/>
      <c r="OM43" s="30"/>
      <c r="ON43" s="30"/>
      <c r="OO43" s="30"/>
      <c r="OP43" s="30"/>
      <c r="OQ43" s="30"/>
      <c r="OR43" s="30"/>
      <c r="OS43" s="30"/>
      <c r="OT43" s="30"/>
      <c r="OU43" s="30"/>
      <c r="OV43" s="30"/>
      <c r="OW43" s="30"/>
      <c r="OX43" s="30"/>
      <c r="OY43" s="30"/>
      <c r="OZ43" s="30"/>
      <c r="PA43" s="30"/>
      <c r="PB43" s="30"/>
      <c r="PC43" s="30"/>
      <c r="PD43" s="30"/>
      <c r="PE43" s="30"/>
      <c r="PF43" s="30"/>
      <c r="PG43" s="30"/>
      <c r="PH43" s="30"/>
      <c r="PI43" s="30"/>
      <c r="PJ43" s="30"/>
      <c r="PK43" s="30"/>
      <c r="PL43" s="30"/>
      <c r="PM43" s="30"/>
      <c r="PN43" s="30"/>
      <c r="PO43" s="30"/>
      <c r="PP43" s="30"/>
      <c r="PQ43" s="30"/>
      <c r="PR43" s="30"/>
      <c r="PS43" s="30"/>
      <c r="PT43" s="30"/>
      <c r="PU43" s="30"/>
      <c r="PV43" s="30"/>
      <c r="PW43" s="30"/>
      <c r="PX43" s="30"/>
      <c r="PY43" s="30"/>
      <c r="PZ43" s="30"/>
      <c r="QA43" s="30"/>
      <c r="QB43" s="30"/>
      <c r="QC43" s="30"/>
      <c r="QD43" s="30"/>
      <c r="QE43" s="30"/>
      <c r="QF43" s="30"/>
      <c r="QG43" s="30"/>
      <c r="QH43" s="30"/>
      <c r="QI43" s="30"/>
      <c r="QJ43" s="30"/>
      <c r="QK43" s="30"/>
      <c r="QL43" s="30"/>
      <c r="QM43" s="30"/>
      <c r="QN43" s="30"/>
      <c r="QO43" s="30"/>
      <c r="QP43" s="30"/>
      <c r="QQ43" s="30"/>
      <c r="QR43" s="30"/>
      <c r="QS43" s="30"/>
      <c r="QT43" s="30"/>
      <c r="QU43" s="30"/>
      <c r="QV43" s="30"/>
      <c r="QW43" s="30"/>
      <c r="QX43" s="30"/>
      <c r="QY43" s="30"/>
      <c r="QZ43" s="30"/>
      <c r="RA43" s="30"/>
      <c r="RB43" s="30"/>
      <c r="RC43" s="30"/>
      <c r="RD43" s="30"/>
      <c r="RE43" s="30"/>
      <c r="RF43" s="30"/>
      <c r="RG43" s="30"/>
      <c r="RH43" s="30"/>
      <c r="RI43" s="30"/>
      <c r="RJ43" s="30"/>
      <c r="RK43" s="30"/>
      <c r="RL43" s="30"/>
      <c r="RM43" s="30"/>
      <c r="RN43" s="30"/>
      <c r="RO43" s="30"/>
      <c r="RP43" s="30"/>
      <c r="RQ43" s="30"/>
      <c r="RR43" s="30"/>
      <c r="RS43" s="30"/>
      <c r="RT43" s="30"/>
      <c r="RU43" s="30"/>
      <c r="RV43" s="30"/>
      <c r="RW43" s="30"/>
      <c r="RX43" s="30"/>
      <c r="RY43" s="30"/>
      <c r="RZ43" s="30"/>
      <c r="SA43" s="30"/>
      <c r="SB43" s="30"/>
      <c r="SC43" s="30"/>
      <c r="SD43" s="30"/>
      <c r="SE43" s="30"/>
      <c r="SF43" s="30"/>
      <c r="SG43" s="30"/>
      <c r="SH43" s="30"/>
      <c r="SI43" s="30"/>
      <c r="SJ43" s="30"/>
      <c r="SK43" s="30"/>
      <c r="SL43" s="30"/>
      <c r="SM43" s="30"/>
      <c r="SN43" s="30"/>
      <c r="SO43" s="30"/>
      <c r="SP43" s="30"/>
      <c r="SQ43" s="30"/>
      <c r="SR43" s="30"/>
      <c r="SS43" s="30"/>
      <c r="ST43" s="30"/>
      <c r="SU43" s="30"/>
      <c r="SV43" s="30"/>
      <c r="SW43" s="30"/>
      <c r="SX43" s="30"/>
      <c r="SY43" s="30"/>
      <c r="SZ43" s="30"/>
      <c r="TA43" s="30"/>
      <c r="TB43" s="30"/>
      <c r="TC43" s="30"/>
      <c r="TD43" s="30"/>
      <c r="TE43" s="30"/>
      <c r="TF43" s="30"/>
      <c r="TG43" s="30"/>
      <c r="TH43" s="30"/>
      <c r="TI43" s="30"/>
      <c r="TJ43" s="30"/>
      <c r="TK43" s="30"/>
      <c r="TL43" s="30"/>
      <c r="TM43" s="30"/>
      <c r="TN43" s="30"/>
      <c r="TO43" s="30"/>
      <c r="TP43" s="30"/>
      <c r="TQ43" s="30"/>
      <c r="TR43" s="30"/>
      <c r="TS43" s="30"/>
      <c r="TT43" s="30"/>
      <c r="TU43" s="30"/>
      <c r="TV43" s="30"/>
      <c r="TW43" s="30"/>
      <c r="TX43" s="30"/>
      <c r="TY43" s="30"/>
      <c r="TZ43" s="30"/>
      <c r="UA43" s="30"/>
      <c r="UB43" s="30"/>
      <c r="UC43" s="30"/>
      <c r="UD43" s="30"/>
      <c r="UE43" s="30"/>
      <c r="UF43" s="30"/>
      <c r="UG43" s="30"/>
      <c r="UH43" s="30"/>
      <c r="UI43" s="30"/>
      <c r="UJ43" s="30"/>
      <c r="UK43" s="30"/>
      <c r="UL43" s="30"/>
      <c r="UM43" s="30"/>
      <c r="UN43" s="30"/>
      <c r="UO43" s="30"/>
      <c r="UP43" s="30"/>
      <c r="UQ43" s="30"/>
      <c r="UR43" s="30"/>
      <c r="US43" s="30"/>
      <c r="UT43" s="30"/>
      <c r="UU43" s="30"/>
      <c r="UV43" s="30"/>
      <c r="UW43" s="30"/>
      <c r="UX43" s="30"/>
      <c r="UY43" s="30"/>
      <c r="UZ43" s="30"/>
      <c r="VA43" s="30"/>
      <c r="VB43" s="30"/>
      <c r="VC43" s="30"/>
      <c r="VD43" s="30"/>
      <c r="VE43" s="30"/>
      <c r="VF43" s="30"/>
      <c r="VG43" s="30"/>
      <c r="VH43" s="30"/>
      <c r="VI43" s="30"/>
      <c r="VJ43" s="30"/>
      <c r="VK43" s="30"/>
      <c r="VL43" s="30"/>
      <c r="VM43" s="30"/>
      <c r="VN43" s="30"/>
      <c r="VO43" s="30"/>
      <c r="VP43" s="30"/>
      <c r="VQ43" s="30"/>
      <c r="VR43" s="30"/>
      <c r="VS43" s="30"/>
      <c r="VT43" s="30"/>
      <c r="VU43" s="30"/>
      <c r="VV43" s="30"/>
      <c r="VW43" s="30"/>
      <c r="VX43" s="30"/>
      <c r="VY43" s="30"/>
      <c r="VZ43" s="30"/>
      <c r="WA43" s="30"/>
      <c r="WB43" s="30"/>
      <c r="WC43" s="30"/>
      <c r="WD43" s="30"/>
      <c r="WE43" s="30"/>
      <c r="WF43" s="30"/>
      <c r="WG43" s="30"/>
      <c r="WH43" s="30"/>
      <c r="WI43" s="30"/>
      <c r="WJ43" s="30"/>
      <c r="WK43" s="30"/>
      <c r="WL43" s="30"/>
      <c r="WM43" s="30"/>
      <c r="WN43" s="30"/>
      <c r="WO43" s="30"/>
      <c r="WP43" s="30"/>
      <c r="WQ43" s="30"/>
      <c r="WR43" s="30"/>
      <c r="WS43" s="30"/>
      <c r="WT43" s="30"/>
      <c r="WU43" s="30"/>
      <c r="WV43" s="30"/>
      <c r="WW43" s="30"/>
      <c r="WX43" s="30"/>
      <c r="WY43" s="30"/>
      <c r="WZ43" s="30"/>
      <c r="XA43" s="30"/>
      <c r="XB43" s="30"/>
      <c r="XC43" s="30"/>
      <c r="XD43" s="30"/>
      <c r="XE43" s="30"/>
      <c r="XF43" s="30"/>
      <c r="XG43" s="30"/>
      <c r="XH43" s="30"/>
      <c r="XI43" s="30"/>
      <c r="XJ43" s="30"/>
      <c r="XK43" s="30"/>
      <c r="XL43" s="30"/>
      <c r="XM43" s="30"/>
      <c r="XN43" s="30"/>
      <c r="XO43" s="30"/>
      <c r="XP43" s="30"/>
      <c r="XQ43" s="30"/>
      <c r="XR43" s="30"/>
      <c r="XS43" s="30"/>
      <c r="XT43" s="30"/>
      <c r="XU43" s="30"/>
      <c r="XV43" s="30"/>
      <c r="XW43" s="30"/>
      <c r="XX43" s="30"/>
      <c r="XY43" s="30"/>
      <c r="XZ43" s="30"/>
      <c r="YA43" s="30"/>
      <c r="YB43" s="30"/>
      <c r="YC43" s="30"/>
      <c r="YD43" s="30"/>
      <c r="YE43" s="30"/>
      <c r="YF43" s="30"/>
      <c r="YG43" s="30"/>
      <c r="YH43" s="30"/>
      <c r="YI43" s="30"/>
      <c r="YJ43" s="30"/>
      <c r="YK43" s="30"/>
      <c r="YL43" s="30"/>
      <c r="YM43" s="30"/>
      <c r="YN43" s="30"/>
      <c r="YO43" s="30"/>
      <c r="YP43" s="30"/>
      <c r="YQ43" s="30"/>
      <c r="YR43" s="30"/>
      <c r="YS43" s="30"/>
      <c r="YT43" s="30"/>
      <c r="YU43" s="30"/>
      <c r="YV43" s="30"/>
      <c r="YW43" s="30"/>
      <c r="YX43" s="30"/>
      <c r="YY43" s="30"/>
      <c r="YZ43" s="30"/>
      <c r="ZA43" s="30"/>
      <c r="ZB43" s="30"/>
      <c r="ZC43" s="30"/>
      <c r="ZD43" s="30"/>
      <c r="ZE43" s="30"/>
      <c r="ZF43" s="30"/>
      <c r="ZG43" s="30"/>
      <c r="ZH43" s="30"/>
      <c r="ZI43" s="30"/>
      <c r="ZJ43" s="30"/>
      <c r="ZK43" s="30"/>
      <c r="ZL43" s="30"/>
      <c r="ZM43" s="30"/>
      <c r="ZN43" s="30"/>
      <c r="ZO43" s="30"/>
      <c r="ZP43" s="30"/>
      <c r="ZQ43" s="30"/>
      <c r="ZR43" s="30"/>
      <c r="ZS43" s="30"/>
      <c r="ZT43" s="30"/>
      <c r="ZU43" s="30"/>
      <c r="ZV43" s="30"/>
      <c r="ZW43" s="30"/>
      <c r="ZX43" s="30"/>
      <c r="ZY43" s="30"/>
      <c r="ZZ43" s="30"/>
      <c r="AAA43" s="30"/>
      <c r="AAB43" s="30"/>
      <c r="AAC43" s="30"/>
      <c r="AAD43" s="30"/>
      <c r="AAE43" s="30"/>
      <c r="AAF43" s="30"/>
      <c r="AAG43" s="30"/>
      <c r="AAH43" s="30"/>
      <c r="AAI43" s="30"/>
      <c r="AAJ43" s="30"/>
      <c r="AAK43" s="30"/>
      <c r="AAL43" s="30"/>
      <c r="AAM43" s="30"/>
      <c r="AAN43" s="30"/>
      <c r="AAO43" s="30"/>
      <c r="AAP43" s="30"/>
      <c r="AAQ43" s="30"/>
      <c r="AAR43" s="30"/>
      <c r="AAS43" s="30"/>
      <c r="AAT43" s="30"/>
      <c r="AAU43" s="30"/>
      <c r="AAV43" s="30"/>
      <c r="AAW43" s="30"/>
      <c r="AAX43" s="30"/>
      <c r="AAY43" s="30"/>
      <c r="AAZ43" s="30"/>
      <c r="ABA43" s="30"/>
      <c r="ABB43" s="30"/>
      <c r="ABC43" s="30"/>
      <c r="ABD43" s="30"/>
      <c r="ABE43" s="30"/>
      <c r="ABF43" s="30"/>
      <c r="ABG43" s="30"/>
      <c r="ABH43" s="30"/>
      <c r="ABI43" s="30"/>
      <c r="ABJ43" s="30"/>
      <c r="ABK43" s="30"/>
      <c r="ABL43" s="30"/>
      <c r="ABM43" s="30"/>
      <c r="ABN43" s="30"/>
      <c r="ABO43" s="30"/>
      <c r="ABP43" s="30"/>
      <c r="ABQ43" s="30"/>
      <c r="ABR43" s="30"/>
      <c r="ABS43" s="30"/>
      <c r="ABT43" s="30"/>
      <c r="ABU43" s="30"/>
      <c r="ABV43" s="30"/>
      <c r="ABW43" s="30"/>
      <c r="ABX43" s="30"/>
      <c r="ABY43" s="30"/>
      <c r="ABZ43" s="30"/>
      <c r="ACA43" s="30"/>
      <c r="ACB43" s="30"/>
      <c r="ACC43" s="30"/>
      <c r="ACD43" s="30"/>
      <c r="ACE43" s="30"/>
      <c r="ACF43" s="30"/>
      <c r="ACG43" s="30"/>
      <c r="ACH43" s="30"/>
      <c r="ACI43" s="30"/>
      <c r="ACJ43" s="30"/>
      <c r="ACK43" s="30"/>
      <c r="ACL43" s="30"/>
      <c r="ACM43" s="30"/>
      <c r="ACN43" s="30"/>
      <c r="ACO43" s="30"/>
      <c r="ACP43" s="30"/>
      <c r="ACQ43" s="30"/>
      <c r="ACR43" s="30"/>
      <c r="ACS43" s="30"/>
      <c r="ACT43" s="30"/>
      <c r="ACU43" s="30"/>
      <c r="ACV43" s="30"/>
      <c r="ACW43" s="30"/>
      <c r="ACX43" s="30"/>
      <c r="ACY43" s="30"/>
      <c r="ACZ43" s="30"/>
      <c r="ADA43" s="30"/>
      <c r="ADB43" s="30"/>
      <c r="ADC43" s="30"/>
      <c r="ADD43" s="30"/>
      <c r="ADE43" s="30"/>
      <c r="ADF43" s="30"/>
      <c r="ADG43" s="30"/>
      <c r="ADH43" s="30"/>
      <c r="ADI43" s="30"/>
      <c r="ADJ43" s="30"/>
      <c r="ADK43" s="30"/>
      <c r="ADL43" s="30"/>
      <c r="ADM43" s="30"/>
      <c r="ADN43" s="30"/>
      <c r="ADO43" s="30"/>
      <c r="ADP43" s="30"/>
      <c r="ADQ43" s="30"/>
      <c r="ADR43" s="30"/>
      <c r="ADS43" s="30"/>
      <c r="ADT43" s="30"/>
      <c r="ADU43" s="30"/>
      <c r="ADV43" s="30"/>
      <c r="ADW43" s="30"/>
      <c r="ADX43" s="30"/>
      <c r="ADY43" s="30"/>
      <c r="ADZ43" s="30"/>
      <c r="AEA43" s="30"/>
      <c r="AEB43" s="30"/>
      <c r="AEC43" s="30"/>
      <c r="AED43" s="30"/>
      <c r="AEE43" s="30"/>
      <c r="AEF43" s="30"/>
      <c r="AEG43" s="30"/>
      <c r="AEH43" s="30"/>
      <c r="AEI43" s="30"/>
      <c r="AEJ43" s="30"/>
      <c r="AEK43" s="30"/>
      <c r="AEL43" s="30"/>
      <c r="AEM43" s="30"/>
      <c r="AEN43" s="30"/>
      <c r="AEO43" s="30"/>
      <c r="AEP43" s="30"/>
      <c r="AEQ43" s="30"/>
      <c r="AER43" s="30"/>
      <c r="AES43" s="30"/>
      <c r="AET43" s="30"/>
      <c r="AEU43" s="30"/>
      <c r="AEV43" s="30"/>
      <c r="AEW43" s="30"/>
      <c r="AEX43" s="30"/>
      <c r="AEY43" s="30"/>
      <c r="AEZ43" s="30"/>
      <c r="AFA43" s="30"/>
      <c r="AFB43" s="30"/>
      <c r="AFC43" s="30"/>
      <c r="AFD43" s="30"/>
      <c r="AFE43" s="30"/>
      <c r="AFF43" s="30"/>
      <c r="AFG43" s="30"/>
      <c r="AFH43" s="30"/>
      <c r="AFI43" s="30"/>
      <c r="AFJ43" s="30"/>
      <c r="AFK43" s="30"/>
      <c r="AFL43" s="30"/>
      <c r="AFM43" s="30"/>
      <c r="AFN43" s="30"/>
      <c r="AFO43" s="30"/>
      <c r="AFP43" s="30"/>
      <c r="AFQ43" s="30"/>
      <c r="AFR43" s="30"/>
      <c r="AFS43" s="30"/>
      <c r="AFT43" s="30"/>
      <c r="AFU43" s="30"/>
      <c r="AFV43" s="30"/>
      <c r="AFW43" s="30"/>
      <c r="AFX43" s="30"/>
      <c r="AFY43" s="30"/>
      <c r="AFZ43" s="30"/>
      <c r="AGA43" s="30"/>
      <c r="AGB43" s="30"/>
      <c r="AGC43" s="30"/>
      <c r="AGD43" s="30"/>
      <c r="AGE43" s="30"/>
      <c r="AGF43" s="30"/>
      <c r="AGG43" s="30"/>
      <c r="AGH43" s="30"/>
      <c r="AGI43" s="30"/>
      <c r="AGJ43" s="30"/>
      <c r="AGK43" s="30"/>
      <c r="AGL43" s="30"/>
      <c r="AGM43" s="30"/>
      <c r="AGN43" s="30"/>
      <c r="AGO43" s="30"/>
      <c r="AGP43" s="30"/>
      <c r="AGQ43" s="30"/>
      <c r="AGR43" s="30"/>
      <c r="AGS43" s="30"/>
      <c r="AGT43" s="30"/>
      <c r="AGU43" s="30"/>
      <c r="AGV43" s="30"/>
      <c r="AGW43" s="30"/>
      <c r="AGX43" s="30"/>
      <c r="AGY43" s="30"/>
      <c r="AGZ43" s="30"/>
      <c r="AHA43" s="30"/>
      <c r="AHB43" s="30"/>
      <c r="AHC43" s="30"/>
      <c r="AHD43" s="30"/>
      <c r="AHE43" s="30"/>
      <c r="AHF43" s="30"/>
      <c r="AHG43" s="30"/>
      <c r="AHH43" s="30"/>
      <c r="AHI43" s="30"/>
      <c r="AHJ43" s="30"/>
      <c r="AHK43" s="30"/>
      <c r="AHL43" s="30"/>
      <c r="AHM43" s="30"/>
      <c r="AHN43" s="30"/>
      <c r="AHO43" s="30"/>
      <c r="AHP43" s="30"/>
      <c r="AHQ43" s="30"/>
      <c r="AHR43" s="30"/>
      <c r="AHS43" s="30"/>
      <c r="AHT43" s="30"/>
      <c r="AHU43" s="30"/>
      <c r="AHV43" s="30"/>
      <c r="AHW43" s="30"/>
      <c r="AHX43" s="30"/>
      <c r="AHY43" s="30"/>
      <c r="AHZ43" s="30"/>
      <c r="AIA43" s="30"/>
      <c r="AIB43" s="30"/>
      <c r="AIC43" s="30"/>
      <c r="AID43" s="30"/>
      <c r="AIE43" s="30"/>
      <c r="AIF43" s="30"/>
      <c r="AIG43" s="30"/>
      <c r="AIH43" s="30"/>
      <c r="AII43" s="30"/>
      <c r="AIJ43" s="30"/>
      <c r="AIK43" s="30"/>
      <c r="AIL43" s="30"/>
      <c r="AIM43" s="30"/>
      <c r="AIN43" s="30"/>
      <c r="AIO43" s="30"/>
      <c r="AIP43" s="30"/>
      <c r="AIQ43" s="30"/>
      <c r="AIR43" s="30"/>
      <c r="AIS43" s="30"/>
      <c r="AIT43" s="30"/>
      <c r="AIU43" s="30"/>
      <c r="AIV43" s="30"/>
      <c r="AIW43" s="30"/>
      <c r="AIX43" s="30"/>
      <c r="AIY43" s="30"/>
      <c r="AIZ43" s="30"/>
      <c r="AJA43" s="30"/>
      <c r="AJB43" s="30"/>
      <c r="AJC43" s="30"/>
      <c r="AJD43" s="30"/>
      <c r="AJE43" s="30"/>
      <c r="AJF43" s="30"/>
      <c r="AJG43" s="30"/>
      <c r="AJH43" s="30"/>
      <c r="AJI43" s="30"/>
      <c r="AJJ43" s="30"/>
      <c r="AJK43" s="30"/>
      <c r="AJL43" s="30"/>
      <c r="AJM43" s="30"/>
      <c r="AJN43" s="30"/>
      <c r="AJO43" s="30"/>
      <c r="AJP43" s="30"/>
      <c r="AJQ43" s="30"/>
      <c r="AJR43" s="30"/>
      <c r="AJS43" s="30"/>
      <c r="AJT43" s="30"/>
      <c r="AJU43" s="30"/>
      <c r="AJV43" s="30"/>
      <c r="AJW43" s="30"/>
      <c r="AJX43" s="30"/>
      <c r="AJY43" s="30"/>
      <c r="AJZ43" s="30"/>
      <c r="AKA43" s="30"/>
      <c r="AKB43" s="30"/>
      <c r="AKC43" s="30"/>
      <c r="AKD43" s="30"/>
      <c r="AKE43" s="30"/>
      <c r="AKF43" s="30"/>
      <c r="AKG43" s="30"/>
      <c r="AKH43" s="30"/>
      <c r="AKI43" s="30"/>
      <c r="AKJ43" s="30"/>
      <c r="AKK43" s="30"/>
      <c r="AKL43" s="30"/>
      <c r="AKM43" s="30"/>
      <c r="AKN43" s="30"/>
      <c r="AKO43" s="30"/>
      <c r="AKP43" s="30"/>
      <c r="AKQ43" s="30"/>
      <c r="AKR43" s="30"/>
      <c r="AKS43" s="30"/>
      <c r="AKT43" s="30"/>
      <c r="AKU43" s="30"/>
      <c r="AKV43" s="30"/>
      <c r="AKW43" s="30"/>
      <c r="AKX43" s="30"/>
      <c r="AKY43" s="30"/>
      <c r="AKZ43" s="30"/>
      <c r="ALA43" s="30"/>
      <c r="ALB43" s="30"/>
      <c r="ALC43" s="30"/>
      <c r="ALD43" s="30"/>
      <c r="ALE43" s="30"/>
      <c r="ALF43" s="30"/>
      <c r="ALG43" s="30"/>
      <c r="ALH43" s="30"/>
      <c r="ALI43" s="30"/>
      <c r="ALJ43" s="30"/>
      <c r="ALK43" s="30"/>
      <c r="ALL43" s="30"/>
      <c r="ALM43" s="30"/>
      <c r="ALN43" s="30"/>
      <c r="ALO43" s="30"/>
      <c r="ALP43" s="30"/>
      <c r="ALQ43" s="30"/>
      <c r="ALR43" s="30"/>
      <c r="ALS43" s="30"/>
      <c r="ALT43" s="30"/>
      <c r="ALU43" s="30"/>
      <c r="ALV43" s="30"/>
      <c r="ALW43" s="30"/>
      <c r="ALX43" s="30"/>
      <c r="ALY43" s="30"/>
      <c r="ALZ43" s="30"/>
      <c r="AMA43" s="30"/>
      <c r="AMB43" s="30"/>
      <c r="AMC43" s="30"/>
      <c r="AMD43" s="30"/>
      <c r="AME43" s="30"/>
      <c r="AMF43" s="30"/>
      <c r="AMG43" s="30"/>
      <c r="AMH43" s="30"/>
      <c r="AMI43" s="30"/>
      <c r="AMJ43" s="30"/>
      <c r="AMK43" s="30"/>
      <c r="AML43" s="30"/>
      <c r="AMM43" s="30"/>
      <c r="AMN43" s="30"/>
      <c r="AMO43" s="30"/>
      <c r="AMP43" s="30"/>
    </row>
    <row r="44" spans="1:1030" s="30" customFormat="1" ht="12.75" customHeight="1" x14ac:dyDescent="0.3">
      <c r="A44" s="9" t="s">
        <v>128</v>
      </c>
      <c r="B44" s="17" t="s">
        <v>153</v>
      </c>
      <c r="C44" s="10" t="str">
        <f t="shared" si="17"/>
        <v>Ulrike M.C.Lohrer</v>
      </c>
      <c r="D44" s="10">
        <f t="shared" si="18"/>
        <v>7</v>
      </c>
      <c r="E44" s="10">
        <f t="shared" si="19"/>
        <v>7</v>
      </c>
      <c r="F44" s="10" t="str">
        <f t="shared" si="20"/>
        <v>Ulrike</v>
      </c>
      <c r="G44" s="10" t="str">
        <f t="shared" si="21"/>
        <v>M.C.Lohrer</v>
      </c>
      <c r="H44" s="10" t="str">
        <f t="shared" si="22"/>
        <v>M.C.Lohrer</v>
      </c>
      <c r="I44" s="11" t="s">
        <v>44</v>
      </c>
      <c r="J44" s="10" t="str">
        <f t="shared" si="83"/>
        <v>U</v>
      </c>
      <c r="K44" s="10" t="str">
        <f t="shared" si="83"/>
        <v>M</v>
      </c>
      <c r="L44" s="9"/>
      <c r="M44" s="9" t="s">
        <v>147</v>
      </c>
      <c r="N44" s="10" t="s">
        <v>130</v>
      </c>
      <c r="O44" s="10">
        <f t="shared" si="24"/>
        <v>6</v>
      </c>
      <c r="P44" s="10" t="str">
        <f t="shared" si="25"/>
        <v>aab.de</v>
      </c>
      <c r="Q44" s="10" t="s">
        <v>172</v>
      </c>
      <c r="R44" s="10" t="str">
        <f t="shared" si="26"/>
        <v>ulrike.m.c.lohrer@aab.de</v>
      </c>
      <c r="S44" s="10" t="str">
        <f t="shared" si="27"/>
        <v>ulrikem.c.lohrer@aab.de</v>
      </c>
      <c r="T44" s="10" t="str">
        <f t="shared" si="28"/>
        <v>u.m.c.lohrer@aab.de</v>
      </c>
      <c r="U44" s="10" t="str">
        <f t="shared" si="29"/>
        <v>m.c.lohrer@aab.de</v>
      </c>
      <c r="V44" s="10" t="str">
        <f t="shared" si="30"/>
        <v>um@aab.de</v>
      </c>
      <c r="W44" s="10" t="str">
        <f t="shared" si="31"/>
        <v>ulrike@aab.de</v>
      </c>
      <c r="X44" s="12" t="str">
        <f t="shared" si="32"/>
        <v>Augsburger Aktienbank AG</v>
      </c>
      <c r="Y44" s="9"/>
      <c r="Z44" s="9"/>
      <c r="AA44" s="9"/>
      <c r="AB44" s="9"/>
      <c r="AC44" s="9"/>
      <c r="AD44" s="9"/>
      <c r="AE44" s="10"/>
      <c r="AF44" s="10"/>
      <c r="AG44" s="9"/>
      <c r="AH44" s="9"/>
      <c r="AI44" s="9"/>
      <c r="AJ44" s="9"/>
      <c r="AK44" s="9"/>
      <c r="AL44" s="10" t="s">
        <v>42</v>
      </c>
      <c r="AM44" s="10"/>
    </row>
    <row r="45" spans="1:1030" s="30" customFormat="1" ht="12.75" customHeight="1" x14ac:dyDescent="0.3">
      <c r="A45" s="9" t="s">
        <v>128</v>
      </c>
      <c r="B45" s="17" t="s">
        <v>154</v>
      </c>
      <c r="C45" s="10" t="str">
        <f t="shared" si="17"/>
        <v>Max Mustermann</v>
      </c>
      <c r="D45" s="10">
        <f t="shared" si="18"/>
        <v>4</v>
      </c>
      <c r="E45" s="10">
        <f t="shared" si="19"/>
        <v>4</v>
      </c>
      <c r="F45" s="10" t="str">
        <f t="shared" si="20"/>
        <v>Max</v>
      </c>
      <c r="G45" s="10" t="str">
        <f t="shared" si="21"/>
        <v>Mustermann</v>
      </c>
      <c r="H45" s="10" t="str">
        <f t="shared" si="22"/>
        <v>Mustermann</v>
      </c>
      <c r="I45" s="11" t="s">
        <v>44</v>
      </c>
      <c r="J45" s="10" t="str">
        <f t="shared" si="83"/>
        <v>M</v>
      </c>
      <c r="K45" s="10" t="str">
        <f t="shared" si="83"/>
        <v>M</v>
      </c>
      <c r="L45" s="9"/>
      <c r="M45" s="9" t="s">
        <v>148</v>
      </c>
      <c r="N45" s="10" t="s">
        <v>132</v>
      </c>
      <c r="O45" s="10">
        <f t="shared" si="24"/>
        <v>6</v>
      </c>
      <c r="P45" s="10" t="str">
        <f t="shared" si="25"/>
        <v>netbank.de</v>
      </c>
      <c r="Q45" s="10" t="s">
        <v>173</v>
      </c>
      <c r="R45" s="10" t="str">
        <f t="shared" si="26"/>
        <v>max.mustermann@netbank.de</v>
      </c>
      <c r="S45" s="10" t="str">
        <f t="shared" si="27"/>
        <v>maxmustermann@netbank.de</v>
      </c>
      <c r="T45" s="10" t="str">
        <f t="shared" si="28"/>
        <v>m.mustermann@netbank.de</v>
      </c>
      <c r="U45" s="10" t="str">
        <f t="shared" si="29"/>
        <v>mustermann@netbank.de</v>
      </c>
      <c r="V45" s="10" t="str">
        <f t="shared" si="30"/>
        <v>mm@netbank.de</v>
      </c>
      <c r="W45" s="10" t="str">
        <f t="shared" si="31"/>
        <v>max@netbank.de</v>
      </c>
      <c r="X45" s="12" t="str">
        <f t="shared" si="32"/>
        <v>Augsburger Aktienbank AG</v>
      </c>
      <c r="Y45" s="9" t="s">
        <v>133</v>
      </c>
      <c r="Z45" s="9" t="s">
        <v>134</v>
      </c>
      <c r="AA45" s="9" t="s">
        <v>135</v>
      </c>
      <c r="AB45" s="9"/>
      <c r="AC45" s="10"/>
      <c r="AD45" s="9"/>
      <c r="AE45" s="9"/>
      <c r="AF45" s="9"/>
      <c r="AG45" s="9"/>
      <c r="AH45" s="9" t="s">
        <v>136</v>
      </c>
      <c r="AI45" s="9" t="s">
        <v>149</v>
      </c>
      <c r="AJ45" s="9"/>
      <c r="AK45" s="9"/>
      <c r="AL45" s="10" t="s">
        <v>42</v>
      </c>
      <c r="AM45" s="10"/>
    </row>
    <row r="46" spans="1:1030" s="30" customFormat="1" ht="12.75" customHeight="1" x14ac:dyDescent="0.3">
      <c r="A46" s="9" t="s">
        <v>128</v>
      </c>
      <c r="B46" s="9"/>
      <c r="C46" s="10" t="str">
        <f t="shared" si="17"/>
        <v/>
      </c>
      <c r="D46" s="10" t="e">
        <f t="shared" si="18"/>
        <v>#VALUE!</v>
      </c>
      <c r="E46" s="10" t="e">
        <f t="shared" si="19"/>
        <v>#VALUE!</v>
      </c>
      <c r="F46" s="10" t="e">
        <f t="shared" si="20"/>
        <v>#VALUE!</v>
      </c>
      <c r="G46" s="10" t="e">
        <f t="shared" si="21"/>
        <v>#VALUE!</v>
      </c>
      <c r="H46" s="10" t="e">
        <f t="shared" si="22"/>
        <v>#VALUE!</v>
      </c>
      <c r="I46" s="11">
        <v>0</v>
      </c>
      <c r="J46" s="10" t="e">
        <f t="shared" si="83"/>
        <v>#VALUE!</v>
      </c>
      <c r="K46" s="10" t="e">
        <f t="shared" si="83"/>
        <v>#VALUE!</v>
      </c>
      <c r="L46" s="9"/>
      <c r="M46" s="9"/>
      <c r="N46" s="10" t="s">
        <v>130</v>
      </c>
      <c r="O46" s="10">
        <f t="shared" si="24"/>
        <v>6</v>
      </c>
      <c r="P46" s="10" t="str">
        <f t="shared" si="25"/>
        <v>aab.de</v>
      </c>
      <c r="Q46" s="10" t="s">
        <v>150</v>
      </c>
      <c r="R46" s="10" t="e">
        <f t="shared" si="26"/>
        <v>#VALUE!</v>
      </c>
      <c r="S46" s="10" t="e">
        <f t="shared" si="27"/>
        <v>#VALUE!</v>
      </c>
      <c r="T46" s="10" t="e">
        <f t="shared" si="28"/>
        <v>#VALUE!</v>
      </c>
      <c r="U46" s="10" t="e">
        <f t="shared" si="29"/>
        <v>#VALUE!</v>
      </c>
      <c r="V46" s="10" t="e">
        <f t="shared" si="30"/>
        <v>#VALUE!</v>
      </c>
      <c r="W46" s="10" t="e">
        <f t="shared" si="31"/>
        <v>#VALUE!</v>
      </c>
      <c r="X46" s="12" t="str">
        <f t="shared" si="32"/>
        <v>Augsburger Aktienbank AG</v>
      </c>
      <c r="Y46" s="9"/>
      <c r="Z46" s="9"/>
      <c r="AA46" s="9"/>
      <c r="AB46" s="9"/>
      <c r="AC46" s="9"/>
      <c r="AD46" s="9"/>
      <c r="AE46" s="10"/>
      <c r="AF46" s="10"/>
      <c r="AG46" s="9"/>
      <c r="AH46" s="9"/>
      <c r="AI46" s="9"/>
      <c r="AJ46" s="9"/>
      <c r="AK46" s="9"/>
      <c r="AL46" s="10" t="s">
        <v>42</v>
      </c>
      <c r="AM46" s="10"/>
    </row>
    <row r="47" spans="1:1030" s="30" customFormat="1" ht="12.75" customHeight="1" x14ac:dyDescent="0.3">
      <c r="A47" s="9" t="s">
        <v>128</v>
      </c>
      <c r="B47" s="9"/>
      <c r="C47" s="10" t="str">
        <f t="shared" si="17"/>
        <v/>
      </c>
      <c r="D47" s="10" t="e">
        <f t="shared" si="18"/>
        <v>#VALUE!</v>
      </c>
      <c r="E47" s="10" t="e">
        <f t="shared" si="19"/>
        <v>#VALUE!</v>
      </c>
      <c r="F47" s="10" t="e">
        <f t="shared" si="20"/>
        <v>#VALUE!</v>
      </c>
      <c r="G47" s="10" t="e">
        <f t="shared" si="21"/>
        <v>#VALUE!</v>
      </c>
      <c r="H47" s="10" t="e">
        <f t="shared" si="22"/>
        <v>#VALUE!</v>
      </c>
      <c r="I47" s="11">
        <v>0</v>
      </c>
      <c r="J47" s="10" t="e">
        <f t="shared" si="83"/>
        <v>#VALUE!</v>
      </c>
      <c r="K47" s="10" t="e">
        <f t="shared" si="83"/>
        <v>#VALUE!</v>
      </c>
      <c r="L47" s="9"/>
      <c r="M47" s="9"/>
      <c r="N47" s="10" t="s">
        <v>132</v>
      </c>
      <c r="O47" s="10">
        <f t="shared" si="24"/>
        <v>6</v>
      </c>
      <c r="P47" s="10" t="str">
        <f t="shared" si="25"/>
        <v>netbank.de</v>
      </c>
      <c r="Q47" s="10" t="s">
        <v>151</v>
      </c>
      <c r="R47" s="10" t="e">
        <f t="shared" si="26"/>
        <v>#VALUE!</v>
      </c>
      <c r="S47" s="10" t="e">
        <f t="shared" si="27"/>
        <v>#VALUE!</v>
      </c>
      <c r="T47" s="10" t="e">
        <f t="shared" si="28"/>
        <v>#VALUE!</v>
      </c>
      <c r="U47" s="10" t="e">
        <f t="shared" si="29"/>
        <v>#VALUE!</v>
      </c>
      <c r="V47" s="10" t="e">
        <f t="shared" si="30"/>
        <v>#VALUE!</v>
      </c>
      <c r="W47" s="10" t="e">
        <f t="shared" si="31"/>
        <v>#VALUE!</v>
      </c>
      <c r="X47" s="12" t="str">
        <f t="shared" si="32"/>
        <v>Augsburger Aktienbank AG</v>
      </c>
      <c r="Y47" s="9" t="s">
        <v>133</v>
      </c>
      <c r="Z47" s="9"/>
      <c r="AA47" s="9"/>
      <c r="AB47" s="9"/>
      <c r="AC47" s="9"/>
      <c r="AD47" s="10"/>
      <c r="AE47" s="9"/>
      <c r="AF47" s="9"/>
      <c r="AG47" s="10"/>
      <c r="AH47" s="9"/>
      <c r="AI47" s="9"/>
      <c r="AJ47" s="9"/>
      <c r="AK47" s="9"/>
      <c r="AL47" s="10" t="s">
        <v>42</v>
      </c>
      <c r="AM47" s="10"/>
    </row>
    <row r="48" spans="1:1030" s="30" customFormat="1" ht="12.75" customHeight="1" x14ac:dyDescent="0.3">
      <c r="A48" s="9" t="s">
        <v>128</v>
      </c>
      <c r="B48" s="9"/>
      <c r="C48" s="10" t="str">
        <f t="shared" ref="C48" si="84">SUBSTITUTE(SUBSTITUTE(SUBSTITUTE(SUBSTITUTE(SUBSTITUTE(SUBSTITUTE(SUBSTITUTE(SUBSTITUTE(B48,"ß","ss"),"ä","ae"),"ö","oe"),"ü","ue"),"Ü","Ue"),"Ö","Oe"),"Ä","Ae"),"é","e")</f>
        <v/>
      </c>
      <c r="D48" s="10" t="e">
        <f t="shared" ref="D48" si="85">FIND(" ",C48)</f>
        <v>#VALUE!</v>
      </c>
      <c r="E48" s="10" t="e">
        <f t="shared" ref="E48" si="86">FIND(" ",B48)</f>
        <v>#VALUE!</v>
      </c>
      <c r="F48" s="10" t="e">
        <f t="shared" ref="F48" si="87">MID(C48,1,D48-1)</f>
        <v>#VALUE!</v>
      </c>
      <c r="G48" s="10" t="e">
        <f t="shared" ref="G48" si="88">MID(C48,D48+1,20)</f>
        <v>#VALUE!</v>
      </c>
      <c r="H48" s="10" t="e">
        <f t="shared" ref="H48" si="89">RIGHT(B48,LEN(B48)-FIND("#",SUBSTITUTE(B48," ","#",LEN(B48)-LEN(SUBSTITUTE(B48," ",)))))</f>
        <v>#VALUE!</v>
      </c>
      <c r="I48" s="11">
        <v>0</v>
      </c>
      <c r="J48" s="10" t="e">
        <f t="shared" ref="J48" si="90">LEFT(F48,1)</f>
        <v>#VALUE!</v>
      </c>
      <c r="K48" s="10" t="e">
        <f t="shared" ref="K48" si="91">LEFT(G48,1)</f>
        <v>#VALUE!</v>
      </c>
      <c r="L48" s="9"/>
      <c r="M48" s="9"/>
      <c r="N48" s="10" t="s">
        <v>132</v>
      </c>
      <c r="O48" s="10">
        <f t="shared" ref="O48" si="92">FIND("@",N48)+1</f>
        <v>6</v>
      </c>
      <c r="P48" s="10" t="str">
        <f t="shared" ref="P48" si="93">MID(N48,O48,30)</f>
        <v>netbank.de</v>
      </c>
      <c r="Q48" s="10" t="s">
        <v>142</v>
      </c>
      <c r="R48" s="10" t="e">
        <f t="shared" ref="R48" si="94">CONCATENATE(LOWER(F48),".",LOWER(G48),"@",P48)</f>
        <v>#VALUE!</v>
      </c>
      <c r="S48" s="10" t="e">
        <f t="shared" ref="S48" si="95">CONCATENATE(LOWER(F48),LOWER(G48),"@",P48)</f>
        <v>#VALUE!</v>
      </c>
      <c r="T48" s="10" t="e">
        <f t="shared" ref="T48" si="96">CONCATENATE(LOWER(J48),".",LOWER(G48),"@",P48)</f>
        <v>#VALUE!</v>
      </c>
      <c r="U48" s="10" t="e">
        <f t="shared" ref="U48" si="97">CONCATENATE(LOWER(G48),"@",P48)</f>
        <v>#VALUE!</v>
      </c>
      <c r="V48" s="10" t="e">
        <f t="shared" ref="V48" si="98">CONCATENATE(LOWER(J48),LOWER(K48),"@",P48)</f>
        <v>#VALUE!</v>
      </c>
      <c r="W48" s="10" t="e">
        <f t="shared" ref="W48" si="99">CONCATENATE(LOWER(F48),"@",P48)</f>
        <v>#VALUE!</v>
      </c>
      <c r="X48" s="12" t="str">
        <f t="shared" ref="X48" si="100">A48</f>
        <v>Augsburger Aktienbank AG</v>
      </c>
      <c r="Y48" s="9" t="s">
        <v>133</v>
      </c>
      <c r="Z48" s="9"/>
      <c r="AA48" s="9"/>
      <c r="AB48" s="9"/>
      <c r="AC48" s="9"/>
      <c r="AD48" s="10"/>
      <c r="AE48" s="9"/>
      <c r="AF48" s="9"/>
      <c r="AG48" s="10"/>
      <c r="AH48" s="9"/>
      <c r="AI48" s="9"/>
      <c r="AJ48" s="9"/>
      <c r="AK48" s="9"/>
      <c r="AL48" s="10" t="s">
        <v>42</v>
      </c>
      <c r="AM48" s="10"/>
    </row>
  </sheetData>
  <conditionalFormatting sqref="B1:B2 B12:B17">
    <cfRule type="duplicateValues" dxfId="13" priority="20"/>
  </conditionalFormatting>
  <conditionalFormatting sqref="B3:B11">
    <cfRule type="duplicateValues" dxfId="12" priority="13"/>
  </conditionalFormatting>
  <conditionalFormatting sqref="B18:B26">
    <cfRule type="duplicateValues" dxfId="11" priority="3"/>
  </conditionalFormatting>
  <conditionalFormatting sqref="B27:B28">
    <cfRule type="duplicateValues" dxfId="10" priority="4"/>
  </conditionalFormatting>
  <conditionalFormatting sqref="B29:B31">
    <cfRule type="duplicateValues" dxfId="9" priority="11"/>
  </conditionalFormatting>
  <conditionalFormatting sqref="B32:B40">
    <cfRule type="duplicateValues" dxfId="8" priority="1"/>
  </conditionalFormatting>
  <conditionalFormatting sqref="B41:B45">
    <cfRule type="duplicateValues" dxfId="7" priority="2"/>
  </conditionalFormatting>
  <conditionalFormatting sqref="B46:B48">
    <cfRule type="duplicateValues" dxfId="6" priority="6"/>
  </conditionalFormatting>
  <conditionalFormatting sqref="Q1:Q17">
    <cfRule type="duplicateValues" dxfId="5" priority="23"/>
    <cfRule type="duplicateValues" dxfId="4" priority="24"/>
  </conditionalFormatting>
  <conditionalFormatting sqref="Q18:Q31">
    <cfRule type="duplicateValues" dxfId="3" priority="10"/>
    <cfRule type="duplicateValues" dxfId="2" priority="12"/>
  </conditionalFormatting>
  <conditionalFormatting sqref="Q32:Q48">
    <cfRule type="duplicateValues" dxfId="1" priority="5"/>
    <cfRule type="duplicateValues" dxfId="0" priority="7"/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Muth</dc:creator>
  <cp:lastModifiedBy>André Muth</cp:lastModifiedBy>
  <dcterms:created xsi:type="dcterms:W3CDTF">2025-12-23T12:31:32Z</dcterms:created>
  <dcterms:modified xsi:type="dcterms:W3CDTF">2025-12-23T13:30:57Z</dcterms:modified>
</cp:coreProperties>
</file>